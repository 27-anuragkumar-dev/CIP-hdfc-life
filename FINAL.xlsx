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RSI" sheetId="2" r:id="rId6"/>
    <sheet state="visible" name="Supertrend" sheetId="3" r:id="rId7"/>
    <sheet state="visible" name="VWAP" sheetId="4" r:id="rId8"/>
    <sheet state="visible" name="MA" sheetId="5" r:id="rId9"/>
    <sheet state="visible" name="MACD" sheetId="6" r:id="rId10"/>
    <sheet state="visible" name="S_RSI" sheetId="7" r:id="rId11"/>
    <sheet state="visible" name="PP" sheetId="8" r:id="rId12"/>
    <sheet state="visible" name="Boillenger" sheetId="9" r:id="rId13"/>
    <sheet state="visible" name="AWESOME Alligator" sheetId="10" r:id="rId14"/>
    <sheet state="visible" name="CP" sheetId="11" r:id="rId15"/>
    <sheet state="visible" name="RESULT" sheetId="12" r:id="rId16"/>
  </sheets>
  <definedNames/>
  <calcPr/>
</workbook>
</file>

<file path=xl/sharedStrings.xml><?xml version="1.0" encoding="utf-8"?>
<sst xmlns="http://schemas.openxmlformats.org/spreadsheetml/2006/main" count="1463" uniqueCount="66">
  <si>
    <t>NAME</t>
  </si>
  <si>
    <t>ANURAG KUMAR</t>
  </si>
  <si>
    <t>Roll No.</t>
  </si>
  <si>
    <t>25PGDMFM012</t>
  </si>
  <si>
    <t>College Name</t>
  </si>
  <si>
    <t>FIIB</t>
  </si>
  <si>
    <t>Company Name</t>
  </si>
  <si>
    <t>HDFC Life</t>
  </si>
  <si>
    <t>PRIVATE BANKS</t>
  </si>
  <si>
    <t>BUY</t>
  </si>
  <si>
    <t>SELL</t>
  </si>
  <si>
    <t>Q1</t>
  </si>
  <si>
    <t xml:space="preserve">SYMBOL </t>
  </si>
  <si>
    <t xml:space="preserve">BACKTEST 
P&amp;L </t>
  </si>
  <si>
    <t xml:space="preserve">TOTAL NUMBER 
OF TRADES </t>
  </si>
  <si>
    <t>NUMBER OF 
WINS</t>
  </si>
  <si>
    <t>NUMBER OF 
LOSSES</t>
  </si>
  <si>
    <t>HDFC BANK</t>
  </si>
  <si>
    <t>AXIS BANK</t>
  </si>
  <si>
    <t>KOTAKBANK</t>
  </si>
  <si>
    <t>YES BANK</t>
  </si>
  <si>
    <t>AUB BANK</t>
  </si>
  <si>
    <t>INDUSINDBK</t>
  </si>
  <si>
    <t>ICICI BANK</t>
  </si>
  <si>
    <t>IDFCFIRSTB</t>
  </si>
  <si>
    <t>BANKBARODA</t>
  </si>
  <si>
    <t>UNIONBANK</t>
  </si>
  <si>
    <t>FEDERAL BANK</t>
  </si>
  <si>
    <t>Q2</t>
  </si>
  <si>
    <t>Q3</t>
  </si>
  <si>
    <t>Q4</t>
  </si>
  <si>
    <t>Total of Buy</t>
  </si>
  <si>
    <t>Total of Sell</t>
  </si>
  <si>
    <t xml:space="preserve">Total </t>
  </si>
  <si>
    <t xml:space="preserve">P of Win </t>
  </si>
  <si>
    <t>P of Loss</t>
  </si>
  <si>
    <t>Name</t>
  </si>
  <si>
    <t>Total P/L</t>
  </si>
  <si>
    <t>Trades</t>
  </si>
  <si>
    <t>Total Win</t>
  </si>
  <si>
    <t>Total Loss</t>
  </si>
  <si>
    <t>AUBANK</t>
  </si>
  <si>
    <t>AXISBANK</t>
  </si>
  <si>
    <t>FEDERALBNK</t>
  </si>
  <si>
    <t>HDFCBANK</t>
  </si>
  <si>
    <t>ICICIBANK</t>
  </si>
  <si>
    <t>YESBANK</t>
  </si>
  <si>
    <t xml:space="preserve">BACKTEST P&amp;L </t>
  </si>
  <si>
    <t xml:space="preserve">TOTAL NUMBER OF TRADES </t>
  </si>
  <si>
    <t>NUMBER OF WINS</t>
  </si>
  <si>
    <t>NUMBER OF LOSSES</t>
  </si>
  <si>
    <t>SR. NO.</t>
  </si>
  <si>
    <t>INDICATOR</t>
  </si>
  <si>
    <t>Probability of Win</t>
  </si>
  <si>
    <t>Probability of Loss</t>
  </si>
  <si>
    <t>Ranking</t>
  </si>
  <si>
    <t>RSI</t>
  </si>
  <si>
    <t>Supertrend</t>
  </si>
  <si>
    <t>VWAP</t>
  </si>
  <si>
    <t>MA</t>
  </si>
  <si>
    <t>MACD</t>
  </si>
  <si>
    <t>S_RSI</t>
  </si>
  <si>
    <t>PP</t>
  </si>
  <si>
    <t>Boillenger</t>
  </si>
  <si>
    <t>Awesome Alligator</t>
  </si>
  <si>
    <t>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</si>
</sst>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Merriweather"/>
    </font>
    <font>
      <color theme="1"/>
      <name val="Arial"/>
    </font>
    <font>
      <b/>
      <color theme="1"/>
      <name val="Arial"/>
    </font>
    <font/>
    <font>
      <b/>
      <sz val="12.0"/>
      <color theme="1"/>
      <name val="Calibri"/>
    </font>
    <font>
      <b/>
      <sz val="12.0"/>
      <color theme="1"/>
      <name val="Arial"/>
    </font>
    <font>
      <sz val="11.0"/>
      <color theme="1"/>
      <name val="Calibri"/>
    </font>
    <font>
      <b/>
      <color theme="1"/>
      <name val="Calibri"/>
    </font>
    <font>
      <color theme="1"/>
      <name val="Calibri"/>
    </font>
    <font>
      <color theme="1"/>
      <name val="Arimo"/>
    </font>
    <font>
      <sz val="12.0"/>
      <color theme="1"/>
      <name val="Times New Roman"/>
    </font>
    <font>
      <sz val="12.0"/>
      <color rgb="FF141413"/>
      <name val="Times New Roman"/>
    </font>
    <font>
      <b/>
      <sz val="12.0"/>
      <color theme="1"/>
      <name val="Aptos Narrow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F1F3"/>
        <bgColor rgb="FFD9F1F3"/>
      </patternFill>
    </fill>
    <fill>
      <patternFill patternType="solid">
        <fgColor rgb="FFFBFBFB"/>
        <bgColor rgb="FFFBFBFB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center" vertical="bottom"/>
    </xf>
    <xf borderId="4" fillId="2" fontId="5" numFmtId="0" xfId="0" applyAlignment="1" applyBorder="1" applyFont="1">
      <alignment vertical="bottom"/>
    </xf>
    <xf borderId="5" fillId="2" fontId="5" numFmtId="0" xfId="0" applyAlignment="1" applyBorder="1" applyFont="1">
      <alignment vertical="bottom"/>
    </xf>
    <xf borderId="5" fillId="2" fontId="5" numFmtId="0" xfId="0" applyAlignment="1" applyBorder="1" applyFont="1">
      <alignment readingOrder="0" vertical="bottom"/>
    </xf>
    <xf borderId="5" fillId="2" fontId="6" numFmtId="0" xfId="0" applyAlignment="1" applyBorder="1" applyFont="1">
      <alignment readingOrder="0" vertical="bottom"/>
    </xf>
    <xf borderId="4" fillId="3" fontId="2" numFmtId="0" xfId="0" applyAlignment="1" applyBorder="1" applyFill="1" applyFont="1">
      <alignment vertical="bottom"/>
    </xf>
    <xf borderId="0" fillId="0" fontId="2" numFmtId="0" xfId="0" applyAlignment="1" applyFont="1">
      <alignment horizontal="right" vertical="bottom"/>
    </xf>
    <xf borderId="4" fillId="4" fontId="2" numFmtId="0" xfId="0" applyAlignment="1" applyBorder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0" xfId="0" applyAlignment="1" applyFont="1" applyNumberFormat="1">
      <alignment vertical="bottom"/>
    </xf>
    <xf borderId="0" fillId="0" fontId="2" numFmtId="10" xfId="0" applyAlignment="1" applyFont="1" applyNumberFormat="1">
      <alignment readingOrder="0" vertical="bottom"/>
    </xf>
    <xf borderId="0" fillId="0" fontId="7" numFmtId="0" xfId="0" applyAlignment="1" applyFont="1">
      <alignment vertical="bottom"/>
    </xf>
    <xf borderId="1" fillId="2" fontId="8" numFmtId="0" xfId="0" applyAlignment="1" applyBorder="1" applyFont="1">
      <alignment horizontal="center" vertical="bottom"/>
    </xf>
    <xf borderId="0" fillId="2" fontId="7" numFmtId="0" xfId="0" applyAlignment="1" applyFont="1">
      <alignment vertical="bottom"/>
    </xf>
    <xf borderId="4" fillId="3" fontId="7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4" fillId="4" fontId="7" numFmtId="0" xfId="0" applyAlignment="1" applyBorder="1" applyFont="1">
      <alignment vertical="bottom"/>
    </xf>
    <xf borderId="0" fillId="0" fontId="10" numFmtId="0" xfId="0" applyAlignment="1" applyFont="1">
      <alignment horizontal="right"/>
    </xf>
    <xf borderId="4" fillId="0" fontId="7" numFmtId="0" xfId="0" applyAlignment="1" applyBorder="1" applyFont="1">
      <alignment horizontal="right" vertical="bottom"/>
    </xf>
    <xf borderId="0" fillId="2" fontId="2" numFmtId="0" xfId="0" applyAlignment="1" applyFont="1">
      <alignment vertical="bottom"/>
    </xf>
    <xf borderId="4" fillId="2" fontId="11" numFmtId="0" xfId="0" applyAlignment="1" applyBorder="1" applyFont="1">
      <alignment vertical="bottom"/>
    </xf>
    <xf borderId="5" fillId="0" fontId="12" numFmtId="0" xfId="0" applyAlignment="1" applyBorder="1" applyFont="1">
      <alignment shrinkToFit="0" wrapText="1"/>
    </xf>
    <xf borderId="0" fillId="0" fontId="7" numFmtId="4" xfId="0" applyAlignment="1" applyFont="1" applyNumberFormat="1">
      <alignment horizontal="right" vertical="bottom"/>
    </xf>
    <xf borderId="0" fillId="0" fontId="10" numFmtId="4" xfId="0" applyAlignment="1" applyFont="1" applyNumberFormat="1">
      <alignment horizontal="right"/>
    </xf>
    <xf borderId="0" fillId="0" fontId="7" numFmtId="3" xfId="0" applyAlignment="1" applyFont="1" applyNumberFormat="1">
      <alignment horizontal="right" vertical="bottom"/>
    </xf>
    <xf borderId="0" fillId="2" fontId="5" numFmtId="0" xfId="0" applyAlignment="1" applyFont="1">
      <alignment vertical="bottom"/>
    </xf>
    <xf borderId="5" fillId="2" fontId="13" numFmtId="0" xfId="0" applyAlignment="1" applyBorder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14" numFmtId="0" xfId="0" applyAlignment="1" applyFont="1">
      <alignment readingOrder="0"/>
    </xf>
    <xf borderId="0" fillId="0" fontId="1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7.75"/>
  </cols>
  <sheetData>
    <row r="3">
      <c r="B3" s="1" t="s">
        <v>0</v>
      </c>
      <c r="C3" s="1" t="s">
        <v>1</v>
      </c>
    </row>
    <row r="4">
      <c r="B4" s="1" t="s">
        <v>2</v>
      </c>
      <c r="C4" s="1" t="s">
        <v>3</v>
      </c>
    </row>
    <row r="5">
      <c r="B5" s="1" t="s">
        <v>4</v>
      </c>
      <c r="C5" s="1" t="s">
        <v>5</v>
      </c>
    </row>
    <row r="6">
      <c r="B6" s="1" t="s">
        <v>6</v>
      </c>
      <c r="C6" s="1" t="s">
        <v>7</v>
      </c>
    </row>
    <row r="7">
      <c r="B7" s="2"/>
      <c r="C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4" max="5" width="16.63"/>
    <col customWidth="1" min="6" max="6" width="14.13"/>
    <col customWidth="1" min="10" max="10" width="19.63"/>
    <col customWidth="1" min="11" max="11" width="15.5"/>
    <col customWidth="1" min="12" max="12" width="13.88"/>
  </cols>
  <sheetData>
    <row r="1">
      <c r="A1" s="3"/>
      <c r="B1" s="4" t="s">
        <v>8</v>
      </c>
      <c r="C1" s="5"/>
      <c r="D1" s="5"/>
      <c r="E1" s="5"/>
      <c r="F1" s="5"/>
      <c r="G1" s="5"/>
      <c r="H1" s="5"/>
      <c r="I1" s="5"/>
      <c r="J1" s="5"/>
      <c r="K1" s="5"/>
      <c r="L1" s="6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7" t="s">
        <v>9</v>
      </c>
      <c r="C3" s="5"/>
      <c r="D3" s="5"/>
      <c r="E3" s="5"/>
      <c r="F3" s="6"/>
      <c r="G3" s="3"/>
      <c r="H3" s="7" t="s">
        <v>10</v>
      </c>
      <c r="I3" s="5"/>
      <c r="J3" s="5"/>
      <c r="K3" s="5"/>
      <c r="L3" s="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8" t="s">
        <v>11</v>
      </c>
      <c r="C4" s="3"/>
      <c r="D4" s="3"/>
      <c r="E4" s="3"/>
      <c r="F4" s="3"/>
      <c r="G4" s="3"/>
      <c r="H4" s="8" t="s">
        <v>11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9" t="s">
        <v>12</v>
      </c>
      <c r="C5" s="10" t="s">
        <v>13</v>
      </c>
      <c r="D5" s="11" t="s">
        <v>14</v>
      </c>
      <c r="E5" s="11" t="s">
        <v>15</v>
      </c>
      <c r="F5" s="11" t="s">
        <v>16</v>
      </c>
      <c r="G5" s="3"/>
      <c r="H5" s="9" t="s">
        <v>12</v>
      </c>
      <c r="I5" s="10" t="s">
        <v>13</v>
      </c>
      <c r="J5" s="11" t="s">
        <v>14</v>
      </c>
      <c r="K5" s="11" t="s">
        <v>15</v>
      </c>
      <c r="L5" s="11" t="s">
        <v>16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"/>
      <c r="B6" s="3" t="s">
        <v>17</v>
      </c>
      <c r="C6" s="13">
        <v>-666.9</v>
      </c>
      <c r="D6" s="13">
        <v>29.0</v>
      </c>
      <c r="E6" s="13">
        <v>13.0</v>
      </c>
      <c r="F6" s="13">
        <f t="shared" ref="F6:F16" si="1">D6-E6</f>
        <v>16</v>
      </c>
      <c r="G6" s="3"/>
      <c r="H6" s="3" t="s">
        <v>17</v>
      </c>
      <c r="I6" s="13">
        <v>-297.85</v>
      </c>
      <c r="J6" s="13">
        <v>47.0</v>
      </c>
      <c r="K6" s="13">
        <v>26.0</v>
      </c>
      <c r="L6" s="13">
        <f t="shared" ref="L6:L16" si="2">J6-K6</f>
        <v>21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"/>
      <c r="B7" s="3" t="s">
        <v>18</v>
      </c>
      <c r="C7" s="13">
        <v>1022.96</v>
      </c>
      <c r="D7" s="13">
        <v>41.0</v>
      </c>
      <c r="E7" s="13">
        <v>20.0</v>
      </c>
      <c r="F7" s="13">
        <f t="shared" si="1"/>
        <v>21</v>
      </c>
      <c r="G7" s="3"/>
      <c r="H7" s="3" t="s">
        <v>18</v>
      </c>
      <c r="I7" s="13">
        <v>63.94</v>
      </c>
      <c r="J7" s="13">
        <v>50.0</v>
      </c>
      <c r="K7" s="13">
        <v>26.0</v>
      </c>
      <c r="L7" s="13">
        <f t="shared" si="2"/>
        <v>24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/>
      <c r="B8" s="3" t="s">
        <v>19</v>
      </c>
      <c r="C8" s="13">
        <v>1037.6</v>
      </c>
      <c r="D8" s="13">
        <v>39.0</v>
      </c>
      <c r="E8" s="13">
        <v>20.0</v>
      </c>
      <c r="F8" s="13">
        <f t="shared" si="1"/>
        <v>19</v>
      </c>
      <c r="G8" s="3"/>
      <c r="H8" s="3" t="s">
        <v>19</v>
      </c>
      <c r="I8" s="13">
        <v>250.29</v>
      </c>
      <c r="J8" s="13">
        <v>40.0</v>
      </c>
      <c r="K8" s="13">
        <v>23.0</v>
      </c>
      <c r="L8" s="13">
        <f t="shared" si="2"/>
        <v>17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3" t="s">
        <v>20</v>
      </c>
      <c r="C9" s="13">
        <v>44.98</v>
      </c>
      <c r="D9" s="13">
        <v>41.0</v>
      </c>
      <c r="E9" s="13">
        <v>16.0</v>
      </c>
      <c r="F9" s="13">
        <f t="shared" si="1"/>
        <v>25</v>
      </c>
      <c r="G9" s="3"/>
      <c r="H9" s="3" t="s">
        <v>20</v>
      </c>
      <c r="I9" s="13">
        <v>304.58</v>
      </c>
      <c r="J9" s="13">
        <v>50.0</v>
      </c>
      <c r="K9" s="13">
        <v>21.0</v>
      </c>
      <c r="L9" s="13">
        <f t="shared" si="2"/>
        <v>29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"/>
      <c r="B10" s="3" t="s">
        <v>21</v>
      </c>
      <c r="C10" s="13">
        <v>-327.45</v>
      </c>
      <c r="D10" s="13">
        <v>33.0</v>
      </c>
      <c r="E10" s="13">
        <v>12.0</v>
      </c>
      <c r="F10" s="13">
        <f t="shared" si="1"/>
        <v>21</v>
      </c>
      <c r="G10" s="3"/>
      <c r="H10" s="3" t="s">
        <v>21</v>
      </c>
      <c r="I10" s="13">
        <v>-1483.1</v>
      </c>
      <c r="J10" s="13">
        <v>57.0</v>
      </c>
      <c r="K10" s="13">
        <v>24.0</v>
      </c>
      <c r="L10" s="13">
        <f t="shared" si="2"/>
        <v>33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/>
      <c r="B11" s="3" t="s">
        <v>22</v>
      </c>
      <c r="C11" s="13">
        <v>233.6</v>
      </c>
      <c r="D11" s="13">
        <v>36.0</v>
      </c>
      <c r="E11" s="13">
        <v>14.0</v>
      </c>
      <c r="F11" s="13">
        <f t="shared" si="1"/>
        <v>22</v>
      </c>
      <c r="G11" s="3"/>
      <c r="H11" s="3" t="s">
        <v>22</v>
      </c>
      <c r="I11" s="13">
        <v>892.9</v>
      </c>
      <c r="J11" s="13">
        <v>49.0</v>
      </c>
      <c r="K11" s="13">
        <v>23.0</v>
      </c>
      <c r="L11" s="13">
        <f t="shared" si="2"/>
        <v>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4"/>
      <c r="B12" s="3" t="s">
        <v>23</v>
      </c>
      <c r="C12" s="13">
        <v>267.25</v>
      </c>
      <c r="D12" s="13">
        <v>34.0</v>
      </c>
      <c r="E12" s="13">
        <v>18.0</v>
      </c>
      <c r="F12" s="13">
        <f t="shared" si="1"/>
        <v>16</v>
      </c>
      <c r="G12" s="3"/>
      <c r="H12" s="3" t="s">
        <v>23</v>
      </c>
      <c r="I12" s="13">
        <v>285.45</v>
      </c>
      <c r="J12" s="13">
        <v>42.0</v>
      </c>
      <c r="K12" s="13">
        <v>24.0</v>
      </c>
      <c r="L12" s="13">
        <f t="shared" si="2"/>
        <v>18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3" t="s">
        <v>24</v>
      </c>
      <c r="C13" s="13">
        <v>606.15</v>
      </c>
      <c r="D13" s="13">
        <v>36.0</v>
      </c>
      <c r="E13" s="13">
        <v>19.0</v>
      </c>
      <c r="F13" s="13">
        <f t="shared" si="1"/>
        <v>17</v>
      </c>
      <c r="G13" s="3"/>
      <c r="H13" s="3" t="s">
        <v>24</v>
      </c>
      <c r="I13" s="13">
        <v>-1019.94</v>
      </c>
      <c r="J13" s="13">
        <v>51.0</v>
      </c>
      <c r="K13" s="13">
        <v>24.0</v>
      </c>
      <c r="L13" s="13">
        <f t="shared" si="2"/>
        <v>27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4"/>
      <c r="B14" s="3" t="s">
        <v>25</v>
      </c>
      <c r="C14" s="13">
        <v>-1191.36</v>
      </c>
      <c r="D14" s="13">
        <v>38.0</v>
      </c>
      <c r="E14" s="13">
        <v>15.0</v>
      </c>
      <c r="F14" s="13">
        <f t="shared" si="1"/>
        <v>23</v>
      </c>
      <c r="G14" s="3"/>
      <c r="H14" s="3" t="s">
        <v>25</v>
      </c>
      <c r="I14" s="13">
        <v>-486.61</v>
      </c>
      <c r="J14" s="13">
        <v>49.0</v>
      </c>
      <c r="K14" s="13">
        <v>21.0</v>
      </c>
      <c r="L14" s="13">
        <f t="shared" si="2"/>
        <v>28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/>
      <c r="B15" s="3" t="s">
        <v>26</v>
      </c>
      <c r="C15" s="13">
        <v>575.86</v>
      </c>
      <c r="D15" s="13">
        <v>37.0</v>
      </c>
      <c r="E15" s="13">
        <v>17.0</v>
      </c>
      <c r="F15" s="13">
        <f t="shared" si="1"/>
        <v>20</v>
      </c>
      <c r="G15" s="3"/>
      <c r="H15" s="3" t="s">
        <v>26</v>
      </c>
      <c r="I15" s="13">
        <v>-493.67</v>
      </c>
      <c r="J15" s="13">
        <v>58.0</v>
      </c>
      <c r="K15" s="13">
        <v>27.0</v>
      </c>
      <c r="L15" s="13">
        <f t="shared" si="2"/>
        <v>31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 t="s">
        <v>27</v>
      </c>
      <c r="C16" s="13">
        <v>734.6</v>
      </c>
      <c r="D16" s="13">
        <v>43.0</v>
      </c>
      <c r="E16" s="13">
        <v>21.0</v>
      </c>
      <c r="F16" s="13">
        <f t="shared" si="1"/>
        <v>22</v>
      </c>
      <c r="G16" s="3"/>
      <c r="H16" s="3" t="s">
        <v>27</v>
      </c>
      <c r="I16" s="13">
        <v>581.93</v>
      </c>
      <c r="J16" s="13">
        <v>54.0</v>
      </c>
      <c r="K16" s="13">
        <v>27.0</v>
      </c>
      <c r="L16" s="13">
        <f t="shared" si="2"/>
        <v>27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>
        <f t="shared" ref="D17:F17" si="3">SUM(D6:D16)</f>
        <v>407</v>
      </c>
      <c r="E17" s="3">
        <f t="shared" si="3"/>
        <v>185</v>
      </c>
      <c r="F17" s="3">
        <f t="shared" si="3"/>
        <v>222</v>
      </c>
      <c r="G17" s="3"/>
      <c r="H17" s="3"/>
      <c r="I17" s="3"/>
      <c r="J17" s="3">
        <f t="shared" ref="J17:L17" si="4">SUM(J6:J16)</f>
        <v>547</v>
      </c>
      <c r="K17" s="3">
        <f t="shared" si="4"/>
        <v>266</v>
      </c>
      <c r="L17" s="3">
        <f t="shared" si="4"/>
        <v>281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8" t="s">
        <v>28</v>
      </c>
      <c r="C18" s="3"/>
      <c r="D18" s="3"/>
      <c r="E18" s="3"/>
      <c r="F18" s="3"/>
      <c r="G18" s="3"/>
      <c r="H18" s="8" t="s">
        <v>28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9" t="s">
        <v>12</v>
      </c>
      <c r="C19" s="10" t="s">
        <v>13</v>
      </c>
      <c r="D19" s="11" t="s">
        <v>14</v>
      </c>
      <c r="E19" s="11" t="s">
        <v>15</v>
      </c>
      <c r="F19" s="11" t="s">
        <v>16</v>
      </c>
      <c r="G19" s="3"/>
      <c r="H19" s="9" t="s">
        <v>12</v>
      </c>
      <c r="I19" s="10" t="s">
        <v>13</v>
      </c>
      <c r="J19" s="11" t="s">
        <v>14</v>
      </c>
      <c r="K19" s="11" t="s">
        <v>15</v>
      </c>
      <c r="L19" s="11" t="s">
        <v>16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 t="s">
        <v>17</v>
      </c>
      <c r="C20" s="13">
        <v>-312.4</v>
      </c>
      <c r="D20" s="13">
        <v>39.0</v>
      </c>
      <c r="E20" s="13">
        <v>15.0</v>
      </c>
      <c r="F20" s="13">
        <f t="shared" ref="F20:F30" si="5">D20-E20</f>
        <v>24</v>
      </c>
      <c r="G20" s="3"/>
      <c r="H20" s="3" t="s">
        <v>17</v>
      </c>
      <c r="I20" s="13">
        <v>66.5</v>
      </c>
      <c r="J20" s="13">
        <v>31.0</v>
      </c>
      <c r="K20" s="13">
        <v>20.0</v>
      </c>
      <c r="L20" s="13">
        <f t="shared" ref="L20:L30" si="6">J20-K20</f>
        <v>11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 t="s">
        <v>18</v>
      </c>
      <c r="C21" s="13">
        <v>90.35</v>
      </c>
      <c r="D21" s="13">
        <v>38.0</v>
      </c>
      <c r="E21" s="13">
        <v>21.0</v>
      </c>
      <c r="F21" s="13">
        <f t="shared" si="5"/>
        <v>17</v>
      </c>
      <c r="G21" s="3"/>
      <c r="H21" s="3" t="s">
        <v>18</v>
      </c>
      <c r="I21" s="13">
        <v>986.35</v>
      </c>
      <c r="J21" s="13">
        <v>36.0</v>
      </c>
      <c r="K21" s="13">
        <v>22.0</v>
      </c>
      <c r="L21" s="13">
        <f t="shared" si="6"/>
        <v>14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 t="s">
        <v>19</v>
      </c>
      <c r="C22" s="13">
        <v>-470.0</v>
      </c>
      <c r="D22" s="13">
        <v>39.0</v>
      </c>
      <c r="E22" s="13">
        <v>17.0</v>
      </c>
      <c r="F22" s="13">
        <f t="shared" si="5"/>
        <v>22</v>
      </c>
      <c r="G22" s="3"/>
      <c r="H22" s="3" t="s">
        <v>19</v>
      </c>
      <c r="I22" s="13">
        <v>1345.65</v>
      </c>
      <c r="J22" s="13">
        <v>36.0</v>
      </c>
      <c r="K22" s="13">
        <v>22.0</v>
      </c>
      <c r="L22" s="13">
        <f t="shared" si="6"/>
        <v>14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 t="s">
        <v>20</v>
      </c>
      <c r="C23" s="13">
        <v>310.31</v>
      </c>
      <c r="D23" s="13">
        <v>40.0</v>
      </c>
      <c r="E23" s="13">
        <v>20.0</v>
      </c>
      <c r="F23" s="13">
        <f t="shared" si="5"/>
        <v>20</v>
      </c>
      <c r="G23" s="3"/>
      <c r="H23" s="3" t="s">
        <v>20</v>
      </c>
      <c r="I23" s="13">
        <v>546.75</v>
      </c>
      <c r="J23" s="13">
        <v>47.0</v>
      </c>
      <c r="K23" s="13">
        <v>27.0</v>
      </c>
      <c r="L23" s="13">
        <f t="shared" si="6"/>
        <v>20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 t="s">
        <v>21</v>
      </c>
      <c r="C24" s="13">
        <v>-221.4</v>
      </c>
      <c r="D24" s="13">
        <v>56.0</v>
      </c>
      <c r="E24" s="13">
        <v>22.0</v>
      </c>
      <c r="F24" s="13">
        <f t="shared" si="5"/>
        <v>34</v>
      </c>
      <c r="G24" s="3"/>
      <c r="H24" s="3" t="s">
        <v>21</v>
      </c>
      <c r="I24" s="13">
        <v>243.15</v>
      </c>
      <c r="J24" s="13">
        <v>47.0</v>
      </c>
      <c r="K24" s="13">
        <v>21.0</v>
      </c>
      <c r="L24" s="13">
        <f t="shared" si="6"/>
        <v>26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 t="s">
        <v>22</v>
      </c>
      <c r="C25" s="13">
        <v>-854.15</v>
      </c>
      <c r="D25" s="13">
        <v>54.0</v>
      </c>
      <c r="E25" s="13">
        <v>20.0</v>
      </c>
      <c r="F25" s="13">
        <f t="shared" si="5"/>
        <v>34</v>
      </c>
      <c r="G25" s="3"/>
      <c r="H25" s="3" t="s">
        <v>22</v>
      </c>
      <c r="I25" s="13">
        <v>1451.05</v>
      </c>
      <c r="J25" s="13">
        <v>38.0</v>
      </c>
      <c r="K25" s="13">
        <v>22.0</v>
      </c>
      <c r="L25" s="13">
        <f t="shared" si="6"/>
        <v>16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 t="s">
        <v>23</v>
      </c>
      <c r="C26" s="13">
        <v>470.85</v>
      </c>
      <c r="D26" s="13">
        <v>37.0</v>
      </c>
      <c r="E26" s="13">
        <v>21.0</v>
      </c>
      <c r="F26" s="13">
        <f t="shared" si="5"/>
        <v>16</v>
      </c>
      <c r="G26" s="3"/>
      <c r="H26" s="3" t="s">
        <v>23</v>
      </c>
      <c r="I26" s="13">
        <v>553.25</v>
      </c>
      <c r="J26" s="13">
        <v>32.0</v>
      </c>
      <c r="K26" s="13">
        <v>20.0</v>
      </c>
      <c r="L26" s="13">
        <f t="shared" si="6"/>
        <v>12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 t="s">
        <v>24</v>
      </c>
      <c r="C27" s="13">
        <v>-1052.69</v>
      </c>
      <c r="D27" s="13">
        <v>52.0</v>
      </c>
      <c r="E27" s="13">
        <v>19.0</v>
      </c>
      <c r="F27" s="13">
        <f t="shared" si="5"/>
        <v>33</v>
      </c>
      <c r="G27" s="3"/>
      <c r="H27" s="3" t="s">
        <v>24</v>
      </c>
      <c r="I27" s="13">
        <v>1408.1</v>
      </c>
      <c r="J27" s="13">
        <v>34.0</v>
      </c>
      <c r="K27" s="13">
        <v>19.0</v>
      </c>
      <c r="L27" s="13">
        <f t="shared" si="6"/>
        <v>15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 t="s">
        <v>25</v>
      </c>
      <c r="C28" s="13">
        <v>-674.23</v>
      </c>
      <c r="D28" s="13">
        <v>45.0</v>
      </c>
      <c r="E28" s="13">
        <v>18.0</v>
      </c>
      <c r="F28" s="13">
        <f t="shared" si="5"/>
        <v>27</v>
      </c>
      <c r="G28" s="3"/>
      <c r="H28" s="3" t="s">
        <v>25</v>
      </c>
      <c r="I28" s="13">
        <v>-61.87</v>
      </c>
      <c r="J28" s="13">
        <v>52.0</v>
      </c>
      <c r="K28" s="13">
        <v>23.0</v>
      </c>
      <c r="L28" s="13">
        <f t="shared" si="6"/>
        <v>29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 t="s">
        <v>26</v>
      </c>
      <c r="C29" s="13">
        <v>334.65</v>
      </c>
      <c r="D29" s="13">
        <v>43.0</v>
      </c>
      <c r="E29" s="13">
        <v>19.0</v>
      </c>
      <c r="F29" s="13">
        <f t="shared" si="5"/>
        <v>24</v>
      </c>
      <c r="G29" s="3"/>
      <c r="H29" s="3" t="s">
        <v>26</v>
      </c>
      <c r="I29" s="13">
        <v>26.13</v>
      </c>
      <c r="J29" s="13">
        <v>50.0</v>
      </c>
      <c r="K29" s="13">
        <v>19.0</v>
      </c>
      <c r="L29" s="13">
        <f t="shared" si="6"/>
        <v>31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 t="s">
        <v>27</v>
      </c>
      <c r="C30" s="13">
        <v>-1622.52</v>
      </c>
      <c r="D30" s="13">
        <v>43.0</v>
      </c>
      <c r="E30" s="13">
        <v>14.0</v>
      </c>
      <c r="F30" s="13">
        <f t="shared" si="5"/>
        <v>29</v>
      </c>
      <c r="G30" s="3"/>
      <c r="H30" s="3" t="s">
        <v>27</v>
      </c>
      <c r="I30" s="13">
        <v>227.4</v>
      </c>
      <c r="J30" s="13">
        <v>29.0</v>
      </c>
      <c r="K30" s="13">
        <v>17.0</v>
      </c>
      <c r="L30" s="13">
        <f t="shared" si="6"/>
        <v>12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>
        <f t="shared" ref="D31:F31" si="7">SUM(D20:D30)</f>
        <v>486</v>
      </c>
      <c r="E31" s="3">
        <f t="shared" si="7"/>
        <v>206</v>
      </c>
      <c r="F31" s="3">
        <f t="shared" si="7"/>
        <v>280</v>
      </c>
      <c r="G31" s="3"/>
      <c r="H31" s="3"/>
      <c r="I31" s="3"/>
      <c r="J31" s="3">
        <f t="shared" ref="J31:L31" si="8">SUM(J20:J30)</f>
        <v>432</v>
      </c>
      <c r="K31" s="3">
        <f t="shared" si="8"/>
        <v>232</v>
      </c>
      <c r="L31" s="3">
        <f t="shared" si="8"/>
        <v>200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8" t="s">
        <v>29</v>
      </c>
      <c r="C32" s="3"/>
      <c r="D32" s="3"/>
      <c r="E32" s="3"/>
      <c r="F32" s="3"/>
      <c r="G32" s="3"/>
      <c r="H32" s="8" t="s">
        <v>29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9" t="s">
        <v>12</v>
      </c>
      <c r="C33" s="10" t="s">
        <v>13</v>
      </c>
      <c r="D33" s="11" t="s">
        <v>14</v>
      </c>
      <c r="E33" s="11" t="s">
        <v>15</v>
      </c>
      <c r="F33" s="11" t="s">
        <v>16</v>
      </c>
      <c r="G33" s="3"/>
      <c r="H33" s="9" t="s">
        <v>12</v>
      </c>
      <c r="I33" s="10" t="s">
        <v>13</v>
      </c>
      <c r="J33" s="11" t="s">
        <v>14</v>
      </c>
      <c r="K33" s="11" t="s">
        <v>15</v>
      </c>
      <c r="L33" s="11" t="s">
        <v>16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 t="s">
        <v>17</v>
      </c>
      <c r="C34" s="13">
        <v>392.85</v>
      </c>
      <c r="D34" s="13">
        <v>33.0</v>
      </c>
      <c r="E34" s="13">
        <v>22.0</v>
      </c>
      <c r="F34" s="13">
        <f t="shared" ref="F34:F44" si="9">D34-E34</f>
        <v>11</v>
      </c>
      <c r="G34" s="3"/>
      <c r="H34" s="3" t="s">
        <v>17</v>
      </c>
      <c r="I34" s="13">
        <v>146.25</v>
      </c>
      <c r="J34" s="13">
        <v>34.0</v>
      </c>
      <c r="K34" s="13">
        <v>20.0</v>
      </c>
      <c r="L34" s="13">
        <f t="shared" ref="L34:L44" si="10">J34-K34</f>
        <v>14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 t="s">
        <v>18</v>
      </c>
      <c r="C35" s="13">
        <v>-499.04</v>
      </c>
      <c r="D35" s="13">
        <v>31.0</v>
      </c>
      <c r="E35" s="13">
        <v>15.0</v>
      </c>
      <c r="F35" s="13">
        <f t="shared" si="9"/>
        <v>16</v>
      </c>
      <c r="G35" s="3"/>
      <c r="H35" s="3" t="s">
        <v>18</v>
      </c>
      <c r="I35" s="13">
        <v>-277.5</v>
      </c>
      <c r="J35" s="13">
        <v>43.0</v>
      </c>
      <c r="K35" s="13">
        <v>22.0</v>
      </c>
      <c r="L35" s="13">
        <f t="shared" si="10"/>
        <v>21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 t="s">
        <v>19</v>
      </c>
      <c r="C36" s="13">
        <v>520.7</v>
      </c>
      <c r="D36" s="13">
        <v>31.0</v>
      </c>
      <c r="E36" s="13">
        <v>13.0</v>
      </c>
      <c r="F36" s="13">
        <f t="shared" si="9"/>
        <v>18</v>
      </c>
      <c r="G36" s="3"/>
      <c r="H36" s="3" t="s">
        <v>19</v>
      </c>
      <c r="I36" s="13">
        <v>326.1</v>
      </c>
      <c r="J36" s="13">
        <v>43.0</v>
      </c>
      <c r="K36" s="13">
        <v>25.0</v>
      </c>
      <c r="L36" s="13">
        <f t="shared" si="10"/>
        <v>18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 t="s">
        <v>20</v>
      </c>
      <c r="C37" s="13">
        <v>-1580.8</v>
      </c>
      <c r="D37" s="13">
        <v>49.0</v>
      </c>
      <c r="E37" s="13">
        <v>21.0</v>
      </c>
      <c r="F37" s="13">
        <f t="shared" si="9"/>
        <v>28</v>
      </c>
      <c r="G37" s="3"/>
      <c r="H37" s="3" t="s">
        <v>20</v>
      </c>
      <c r="I37" s="13">
        <v>805.21</v>
      </c>
      <c r="J37" s="13">
        <v>41.0</v>
      </c>
      <c r="K37" s="13">
        <v>24.0</v>
      </c>
      <c r="L37" s="13">
        <f t="shared" si="10"/>
        <v>17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 t="s">
        <v>21</v>
      </c>
      <c r="C38" s="13">
        <v>1157.35</v>
      </c>
      <c r="D38" s="13">
        <v>35.0</v>
      </c>
      <c r="E38" s="13">
        <v>19.0</v>
      </c>
      <c r="F38" s="13">
        <f t="shared" si="9"/>
        <v>16</v>
      </c>
      <c r="G38" s="3"/>
      <c r="H38" s="3" t="s">
        <v>21</v>
      </c>
      <c r="I38" s="13">
        <v>-860.05</v>
      </c>
      <c r="J38" s="13">
        <v>53.0</v>
      </c>
      <c r="K38" s="13">
        <v>24.0</v>
      </c>
      <c r="L38" s="13">
        <f t="shared" si="10"/>
        <v>29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 t="s">
        <v>22</v>
      </c>
      <c r="C39" s="13">
        <v>973.55</v>
      </c>
      <c r="D39" s="13">
        <v>38.0</v>
      </c>
      <c r="E39" s="13">
        <v>20.0</v>
      </c>
      <c r="F39" s="13">
        <f t="shared" si="9"/>
        <v>18</v>
      </c>
      <c r="G39" s="3"/>
      <c r="H39" s="3" t="s">
        <v>22</v>
      </c>
      <c r="I39" s="13">
        <v>-1748.9</v>
      </c>
      <c r="J39" s="13">
        <v>47.0</v>
      </c>
      <c r="K39" s="13">
        <v>19.0</v>
      </c>
      <c r="L39" s="13">
        <f t="shared" si="10"/>
        <v>28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 t="s">
        <v>23</v>
      </c>
      <c r="C40" s="13">
        <v>-902.29</v>
      </c>
      <c r="D40" s="13">
        <v>38.0</v>
      </c>
      <c r="E40" s="13">
        <v>19.0</v>
      </c>
      <c r="F40" s="13">
        <f t="shared" si="9"/>
        <v>19</v>
      </c>
      <c r="G40" s="3"/>
      <c r="H40" s="3" t="s">
        <v>23</v>
      </c>
      <c r="I40" s="13">
        <v>-1065.9</v>
      </c>
      <c r="J40" s="13">
        <v>31.0</v>
      </c>
      <c r="K40" s="13">
        <v>14.0</v>
      </c>
      <c r="L40" s="13">
        <f t="shared" si="10"/>
        <v>17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 t="s">
        <v>24</v>
      </c>
      <c r="C41" s="13">
        <v>665.99</v>
      </c>
      <c r="D41" s="13">
        <v>33.0</v>
      </c>
      <c r="E41" s="13">
        <v>18.0</v>
      </c>
      <c r="F41" s="13">
        <f t="shared" si="9"/>
        <v>15</v>
      </c>
      <c r="G41" s="3"/>
      <c r="H41" s="3" t="s">
        <v>24</v>
      </c>
      <c r="I41" s="13">
        <v>-1853.97</v>
      </c>
      <c r="J41" s="13">
        <v>49.0</v>
      </c>
      <c r="K41" s="13">
        <v>18.0</v>
      </c>
      <c r="L41" s="13">
        <f t="shared" si="10"/>
        <v>31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 t="s">
        <v>25</v>
      </c>
      <c r="C42" s="13">
        <v>505.65</v>
      </c>
      <c r="D42" s="13">
        <v>45.0</v>
      </c>
      <c r="E42" s="13">
        <v>21.0</v>
      </c>
      <c r="F42" s="13">
        <f t="shared" si="9"/>
        <v>24</v>
      </c>
      <c r="G42" s="3"/>
      <c r="H42" s="3" t="s">
        <v>25</v>
      </c>
      <c r="I42" s="13">
        <v>-1596.0</v>
      </c>
      <c r="J42" s="13">
        <v>49.0</v>
      </c>
      <c r="K42" s="13">
        <v>20.0</v>
      </c>
      <c r="L42" s="13">
        <f t="shared" si="10"/>
        <v>29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 t="s">
        <v>26</v>
      </c>
      <c r="C43" s="13">
        <v>1072.2</v>
      </c>
      <c r="D43" s="13">
        <v>35.0</v>
      </c>
      <c r="E43" s="13">
        <v>21.0</v>
      </c>
      <c r="F43" s="13">
        <f t="shared" si="9"/>
        <v>14</v>
      </c>
      <c r="G43" s="3"/>
      <c r="H43" s="3" t="s">
        <v>26</v>
      </c>
      <c r="I43" s="13">
        <v>-899.8</v>
      </c>
      <c r="J43" s="13">
        <v>43.0</v>
      </c>
      <c r="K43" s="13">
        <v>19.0</v>
      </c>
      <c r="L43" s="13">
        <f t="shared" si="10"/>
        <v>24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 t="s">
        <v>27</v>
      </c>
      <c r="C44" s="13">
        <v>771.34</v>
      </c>
      <c r="D44" s="13">
        <v>27.0</v>
      </c>
      <c r="E44" s="13">
        <v>15.0</v>
      </c>
      <c r="F44" s="13">
        <f t="shared" si="9"/>
        <v>12</v>
      </c>
      <c r="G44" s="3"/>
      <c r="H44" s="3" t="s">
        <v>27</v>
      </c>
      <c r="I44" s="13">
        <v>-1479.91</v>
      </c>
      <c r="J44" s="13">
        <v>55.0</v>
      </c>
      <c r="K44" s="13">
        <v>20.0</v>
      </c>
      <c r="L44" s="13">
        <f t="shared" si="10"/>
        <v>35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>
        <f t="shared" ref="D45:F45" si="11">SUM(D34:D44)</f>
        <v>395</v>
      </c>
      <c r="E45" s="3">
        <f t="shared" si="11"/>
        <v>204</v>
      </c>
      <c r="F45" s="3">
        <f t="shared" si="11"/>
        <v>191</v>
      </c>
      <c r="G45" s="3"/>
      <c r="H45" s="3"/>
      <c r="I45" s="3"/>
      <c r="J45" s="3">
        <f t="shared" ref="J45:L45" si="12">SUM(J34:J44)</f>
        <v>488</v>
      </c>
      <c r="K45" s="3">
        <f t="shared" si="12"/>
        <v>225</v>
      </c>
      <c r="L45" s="3">
        <f t="shared" si="12"/>
        <v>263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8" t="s">
        <v>30</v>
      </c>
      <c r="C46" s="3"/>
      <c r="D46" s="3"/>
      <c r="E46" s="3"/>
      <c r="F46" s="3"/>
      <c r="G46" s="3"/>
      <c r="H46" s="8" t="s">
        <v>30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9" t="s">
        <v>12</v>
      </c>
      <c r="C47" s="10" t="s">
        <v>13</v>
      </c>
      <c r="D47" s="11" t="s">
        <v>14</v>
      </c>
      <c r="E47" s="11" t="s">
        <v>15</v>
      </c>
      <c r="F47" s="11" t="s">
        <v>16</v>
      </c>
      <c r="G47" s="3"/>
      <c r="H47" s="9" t="s">
        <v>12</v>
      </c>
      <c r="I47" s="10" t="s">
        <v>13</v>
      </c>
      <c r="J47" s="11" t="s">
        <v>14</v>
      </c>
      <c r="K47" s="11" t="s">
        <v>15</v>
      </c>
      <c r="L47" s="11" t="s">
        <v>16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 t="s">
        <v>17</v>
      </c>
      <c r="C48" s="13">
        <v>-440.34</v>
      </c>
      <c r="D48" s="13">
        <v>56.0</v>
      </c>
      <c r="E48" s="13">
        <v>26.0</v>
      </c>
      <c r="F48" s="13">
        <f t="shared" ref="F48:F58" si="13">D48-E48</f>
        <v>30</v>
      </c>
      <c r="G48" s="3"/>
      <c r="H48" s="3" t="s">
        <v>17</v>
      </c>
      <c r="I48" s="13">
        <v>330.5</v>
      </c>
      <c r="J48" s="13">
        <v>26.0</v>
      </c>
      <c r="K48" s="13">
        <v>16.0</v>
      </c>
      <c r="L48" s="13">
        <f t="shared" ref="L48:L58" si="14">J48-K48</f>
        <v>10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 t="s">
        <v>18</v>
      </c>
      <c r="C49" s="13">
        <v>-1674.19</v>
      </c>
      <c r="D49" s="13">
        <v>46.0</v>
      </c>
      <c r="E49" s="13">
        <v>15.0</v>
      </c>
      <c r="F49" s="13">
        <f t="shared" si="13"/>
        <v>31</v>
      </c>
      <c r="G49" s="3"/>
      <c r="H49" s="3" t="s">
        <v>18</v>
      </c>
      <c r="I49" s="13">
        <v>-600.05</v>
      </c>
      <c r="J49" s="13">
        <v>38.0</v>
      </c>
      <c r="K49" s="13">
        <v>17.0</v>
      </c>
      <c r="L49" s="13">
        <f t="shared" si="14"/>
        <v>21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 t="s">
        <v>19</v>
      </c>
      <c r="C50" s="13">
        <v>-335.79</v>
      </c>
      <c r="D50" s="13">
        <v>52.0</v>
      </c>
      <c r="E50" s="13">
        <v>16.0</v>
      </c>
      <c r="F50" s="13">
        <f t="shared" si="13"/>
        <v>36</v>
      </c>
      <c r="G50" s="3"/>
      <c r="H50" s="3" t="s">
        <v>19</v>
      </c>
      <c r="I50" s="13">
        <v>84.95</v>
      </c>
      <c r="J50" s="13">
        <v>36.0</v>
      </c>
      <c r="K50" s="13">
        <v>15.0</v>
      </c>
      <c r="L50" s="13">
        <f t="shared" si="14"/>
        <v>21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 t="s">
        <v>20</v>
      </c>
      <c r="C51" s="13">
        <v>-2740.42</v>
      </c>
      <c r="D51" s="13">
        <v>55.0</v>
      </c>
      <c r="E51" s="13">
        <v>19.0</v>
      </c>
      <c r="F51" s="13">
        <f t="shared" si="13"/>
        <v>36</v>
      </c>
      <c r="G51" s="3"/>
      <c r="H51" s="3" t="s">
        <v>20</v>
      </c>
      <c r="I51" s="13">
        <v>-497.77</v>
      </c>
      <c r="J51" s="13">
        <v>37.0</v>
      </c>
      <c r="K51" s="13">
        <v>40.0</v>
      </c>
      <c r="L51" s="13">
        <f t="shared" si="14"/>
        <v>-3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 t="s">
        <v>21</v>
      </c>
      <c r="C52" s="13">
        <v>1347.2</v>
      </c>
      <c r="D52" s="13">
        <v>53.0</v>
      </c>
      <c r="E52" s="13">
        <v>25.0</v>
      </c>
      <c r="F52" s="13">
        <f t="shared" si="13"/>
        <v>28</v>
      </c>
      <c r="G52" s="3"/>
      <c r="H52" s="3" t="s">
        <v>21</v>
      </c>
      <c r="I52" s="13">
        <v>-845.9</v>
      </c>
      <c r="J52" s="13">
        <v>48.0</v>
      </c>
      <c r="K52" s="13">
        <v>17.0</v>
      </c>
      <c r="L52" s="13">
        <f t="shared" si="14"/>
        <v>31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 t="s">
        <v>22</v>
      </c>
      <c r="C53" s="13">
        <v>-231.34</v>
      </c>
      <c r="D53" s="13">
        <v>45.0</v>
      </c>
      <c r="E53" s="13">
        <v>21.0</v>
      </c>
      <c r="F53" s="13">
        <f t="shared" si="13"/>
        <v>24</v>
      </c>
      <c r="G53" s="3"/>
      <c r="H53" s="3" t="s">
        <v>22</v>
      </c>
      <c r="I53" s="13">
        <v>112.2</v>
      </c>
      <c r="J53" s="13">
        <v>44.0</v>
      </c>
      <c r="K53" s="13">
        <v>21.0</v>
      </c>
      <c r="L53" s="13">
        <f t="shared" si="14"/>
        <v>23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 t="s">
        <v>23</v>
      </c>
      <c r="C54" s="13">
        <v>42.05</v>
      </c>
      <c r="D54" s="13">
        <v>43.0</v>
      </c>
      <c r="E54" s="13">
        <v>20.0</v>
      </c>
      <c r="F54" s="13">
        <f t="shared" si="13"/>
        <v>23</v>
      </c>
      <c r="G54" s="3"/>
      <c r="H54" s="3" t="s">
        <v>23</v>
      </c>
      <c r="I54" s="13">
        <v>-1137.15</v>
      </c>
      <c r="J54" s="13">
        <v>34.0</v>
      </c>
      <c r="K54" s="13">
        <v>12.0</v>
      </c>
      <c r="L54" s="13">
        <f t="shared" si="14"/>
        <v>22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 t="s">
        <v>24</v>
      </c>
      <c r="C55" s="13">
        <v>-1409.7</v>
      </c>
      <c r="D55" s="13">
        <v>54.0</v>
      </c>
      <c r="E55" s="13">
        <v>19.0</v>
      </c>
      <c r="F55" s="13">
        <f t="shared" si="13"/>
        <v>35</v>
      </c>
      <c r="G55" s="3"/>
      <c r="H55" s="3" t="s">
        <v>24</v>
      </c>
      <c r="I55" s="13">
        <v>-1304.06</v>
      </c>
      <c r="J55" s="13">
        <v>43.0</v>
      </c>
      <c r="K55" s="13">
        <v>19.0</v>
      </c>
      <c r="L55" s="13">
        <f t="shared" si="14"/>
        <v>24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 t="s">
        <v>25</v>
      </c>
      <c r="C56" s="13">
        <v>-1806.54</v>
      </c>
      <c r="D56" s="13">
        <v>55.0</v>
      </c>
      <c r="E56" s="13">
        <v>18.0</v>
      </c>
      <c r="F56" s="13">
        <f t="shared" si="13"/>
        <v>37</v>
      </c>
      <c r="G56" s="3"/>
      <c r="H56" s="3" t="s">
        <v>25</v>
      </c>
      <c r="I56" s="13">
        <v>-858.3</v>
      </c>
      <c r="J56" s="13">
        <v>41.0</v>
      </c>
      <c r="K56" s="13">
        <v>18.0</v>
      </c>
      <c r="L56" s="13">
        <f t="shared" si="14"/>
        <v>23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 t="s">
        <v>26</v>
      </c>
      <c r="C57" s="13">
        <v>74.28</v>
      </c>
      <c r="D57" s="13">
        <v>50.0</v>
      </c>
      <c r="E57" s="13">
        <v>22.0</v>
      </c>
      <c r="F57" s="13">
        <f t="shared" si="13"/>
        <v>28</v>
      </c>
      <c r="G57" s="3"/>
      <c r="H57" s="3" t="s">
        <v>26</v>
      </c>
      <c r="I57" s="13">
        <v>347.3</v>
      </c>
      <c r="J57" s="13">
        <v>56.0</v>
      </c>
      <c r="K57" s="13">
        <v>24.0</v>
      </c>
      <c r="L57" s="13">
        <f t="shared" si="14"/>
        <v>32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 t="s">
        <v>27</v>
      </c>
      <c r="C58" s="13">
        <v>-1020.79</v>
      </c>
      <c r="D58" s="13">
        <v>50.0</v>
      </c>
      <c r="E58" s="13">
        <v>19.0</v>
      </c>
      <c r="F58" s="13">
        <f t="shared" si="13"/>
        <v>31</v>
      </c>
      <c r="G58" s="3"/>
      <c r="H58" s="3" t="s">
        <v>27</v>
      </c>
      <c r="I58" s="13">
        <v>-2146.05</v>
      </c>
      <c r="J58" s="13">
        <v>48.0</v>
      </c>
      <c r="K58" s="13">
        <v>14.0</v>
      </c>
      <c r="L58" s="13">
        <f t="shared" si="14"/>
        <v>34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>
        <f t="shared" ref="D59:F59" si="15">SUM(D48:D58)</f>
        <v>559</v>
      </c>
      <c r="E59" s="3">
        <f t="shared" si="15"/>
        <v>220</v>
      </c>
      <c r="F59" s="3">
        <f t="shared" si="15"/>
        <v>339</v>
      </c>
      <c r="G59" s="3"/>
      <c r="H59" s="3"/>
      <c r="I59" s="3"/>
      <c r="J59" s="3">
        <f t="shared" ref="J59:L59" si="16">SUM(J48:J58)</f>
        <v>451</v>
      </c>
      <c r="K59" s="3">
        <f t="shared" si="16"/>
        <v>213</v>
      </c>
      <c r="L59" s="3">
        <f t="shared" si="16"/>
        <v>238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15" t="s">
        <v>31</v>
      </c>
      <c r="D60" s="3">
        <f t="shared" ref="D60:F60" si="17">D59+D45+D31+D17</f>
        <v>1847</v>
      </c>
      <c r="E60" s="3">
        <f t="shared" si="17"/>
        <v>815</v>
      </c>
      <c r="F60" s="3">
        <f t="shared" si="17"/>
        <v>1032</v>
      </c>
      <c r="G60" s="3"/>
      <c r="H60" s="3"/>
      <c r="I60" s="15" t="s">
        <v>32</v>
      </c>
      <c r="J60" s="3">
        <f t="shared" ref="J60:L60" si="18">J59+J45+J31+J17</f>
        <v>1918</v>
      </c>
      <c r="K60" s="3">
        <f t="shared" si="18"/>
        <v>936</v>
      </c>
      <c r="L60" s="3">
        <f t="shared" si="18"/>
        <v>982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15" t="s">
        <v>33</v>
      </c>
      <c r="D61" s="3">
        <f t="shared" ref="D61:F61" si="19">D60+J60</f>
        <v>3765</v>
      </c>
      <c r="E61" s="3">
        <f t="shared" si="19"/>
        <v>1751</v>
      </c>
      <c r="F61" s="3">
        <f t="shared" si="19"/>
        <v>2014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15" t="s">
        <v>34</v>
      </c>
      <c r="D62" s="16">
        <f>E61/D61</f>
        <v>0.4650730412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15" t="s">
        <v>35</v>
      </c>
      <c r="D63" s="17">
        <f>1-D62</f>
        <v>0.5349269588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B1:L1"/>
    <mergeCell ref="B3:F3"/>
    <mergeCell ref="H3:L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  <col customWidth="1" min="5" max="5" width="15.5"/>
    <col customWidth="1" min="6" max="6" width="14.38"/>
    <col customWidth="1" min="10" max="10" width="18.13"/>
    <col customWidth="1" min="11" max="11" width="16.38"/>
    <col customWidth="1" min="12" max="12" width="14.88"/>
  </cols>
  <sheetData>
    <row r="1">
      <c r="A1" s="18"/>
      <c r="B1" s="19" t="s">
        <v>8</v>
      </c>
      <c r="C1" s="5"/>
      <c r="D1" s="5"/>
      <c r="E1" s="5"/>
      <c r="F1" s="5"/>
      <c r="G1" s="5"/>
      <c r="H1" s="5"/>
      <c r="I1" s="5"/>
      <c r="J1" s="5"/>
      <c r="K1" s="5"/>
      <c r="L1" s="6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7" t="s">
        <v>9</v>
      </c>
      <c r="C3" s="5"/>
      <c r="D3" s="5"/>
      <c r="E3" s="5"/>
      <c r="F3" s="6"/>
      <c r="G3" s="18"/>
      <c r="H3" s="7" t="s">
        <v>10</v>
      </c>
      <c r="I3" s="5"/>
      <c r="J3" s="5"/>
      <c r="K3" s="5"/>
      <c r="L3" s="6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8" t="s">
        <v>11</v>
      </c>
      <c r="C4" s="20"/>
      <c r="D4" s="20"/>
      <c r="E4" s="20"/>
      <c r="F4" s="20"/>
      <c r="G4" s="18"/>
      <c r="H4" s="8" t="s">
        <v>11</v>
      </c>
      <c r="I4" s="20"/>
      <c r="J4" s="20"/>
      <c r="K4" s="20"/>
      <c r="L4" s="20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3"/>
      <c r="B5" s="9" t="s">
        <v>12</v>
      </c>
      <c r="C5" s="10" t="s">
        <v>13</v>
      </c>
      <c r="D5" s="11" t="s">
        <v>14</v>
      </c>
      <c r="E5" s="11" t="s">
        <v>15</v>
      </c>
      <c r="F5" s="11" t="s">
        <v>16</v>
      </c>
      <c r="G5" s="3"/>
      <c r="H5" s="9" t="s">
        <v>12</v>
      </c>
      <c r="I5" s="10" t="s">
        <v>13</v>
      </c>
      <c r="J5" s="11" t="s">
        <v>14</v>
      </c>
      <c r="K5" s="11" t="s">
        <v>15</v>
      </c>
      <c r="L5" s="11" t="s">
        <v>16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/>
      <c r="B6" s="22" t="s">
        <v>17</v>
      </c>
      <c r="C6" s="23">
        <v>16.15</v>
      </c>
      <c r="D6" s="23">
        <v>46.0</v>
      </c>
      <c r="E6" s="23">
        <v>18.0</v>
      </c>
      <c r="F6" s="23">
        <f t="shared" ref="F6:F16" si="1">D6-E6</f>
        <v>28</v>
      </c>
      <c r="G6" s="18"/>
      <c r="H6" s="22" t="s">
        <v>17</v>
      </c>
      <c r="I6" s="23">
        <v>-1505.14</v>
      </c>
      <c r="J6" s="23">
        <v>47.0</v>
      </c>
      <c r="K6" s="23">
        <v>20.0</v>
      </c>
      <c r="L6" s="23">
        <f t="shared" ref="L6:L16" si="2">J6-K6</f>
        <v>27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4"/>
      <c r="B7" s="22" t="s">
        <v>18</v>
      </c>
      <c r="C7" s="23">
        <v>61.05</v>
      </c>
      <c r="D7" s="23">
        <v>45.0</v>
      </c>
      <c r="E7" s="23">
        <v>23.0</v>
      </c>
      <c r="F7" s="23">
        <f t="shared" si="1"/>
        <v>22</v>
      </c>
      <c r="G7" s="18"/>
      <c r="H7" s="22" t="s">
        <v>18</v>
      </c>
      <c r="I7" s="23">
        <v>1474.84</v>
      </c>
      <c r="J7" s="23">
        <v>69.0</v>
      </c>
      <c r="K7" s="23">
        <v>39.0</v>
      </c>
      <c r="L7" s="23">
        <f t="shared" si="2"/>
        <v>30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/>
      <c r="B8" s="22" t="s">
        <v>19</v>
      </c>
      <c r="C8" s="23">
        <v>686.15</v>
      </c>
      <c r="D8" s="23">
        <v>51.0</v>
      </c>
      <c r="E8" s="23">
        <v>25.0</v>
      </c>
      <c r="F8" s="23">
        <f t="shared" si="1"/>
        <v>26</v>
      </c>
      <c r="G8" s="18"/>
      <c r="H8" s="22" t="s">
        <v>19</v>
      </c>
      <c r="I8" s="23">
        <v>263.2</v>
      </c>
      <c r="J8" s="23">
        <v>56.0</v>
      </c>
      <c r="K8" s="23">
        <v>30.0</v>
      </c>
      <c r="L8" s="23">
        <f t="shared" si="2"/>
        <v>26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4"/>
      <c r="B9" s="22" t="s">
        <v>20</v>
      </c>
      <c r="C9" s="23">
        <v>166.45</v>
      </c>
      <c r="D9" s="23">
        <v>47.0</v>
      </c>
      <c r="E9" s="23">
        <v>20.0</v>
      </c>
      <c r="F9" s="23">
        <f t="shared" si="1"/>
        <v>27</v>
      </c>
      <c r="G9" s="18"/>
      <c r="H9" s="22" t="s">
        <v>20</v>
      </c>
      <c r="I9" s="23">
        <v>-186.99</v>
      </c>
      <c r="J9" s="23">
        <v>45.0</v>
      </c>
      <c r="K9" s="23">
        <v>22.0</v>
      </c>
      <c r="L9" s="23">
        <f t="shared" si="2"/>
        <v>23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1"/>
      <c r="B10" s="22" t="s">
        <v>21</v>
      </c>
      <c r="C10" s="23">
        <v>2179.45</v>
      </c>
      <c r="D10" s="23">
        <v>46.0</v>
      </c>
      <c r="E10" s="23">
        <v>27.0</v>
      </c>
      <c r="F10" s="23">
        <f t="shared" si="1"/>
        <v>19</v>
      </c>
      <c r="G10" s="18"/>
      <c r="H10" s="22" t="s">
        <v>21</v>
      </c>
      <c r="I10" s="25">
        <v>985.25</v>
      </c>
      <c r="J10" s="23">
        <v>54.0</v>
      </c>
      <c r="K10" s="23">
        <v>28.0</v>
      </c>
      <c r="L10" s="23">
        <f t="shared" si="2"/>
        <v>26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1"/>
      <c r="B11" s="22" t="s">
        <v>22</v>
      </c>
      <c r="C11" s="23">
        <v>860.0</v>
      </c>
      <c r="D11" s="23">
        <v>57.0</v>
      </c>
      <c r="E11" s="23">
        <v>27.0</v>
      </c>
      <c r="F11" s="23">
        <f t="shared" si="1"/>
        <v>30</v>
      </c>
      <c r="G11" s="18"/>
      <c r="H11" s="22" t="s">
        <v>22</v>
      </c>
      <c r="I11" s="23">
        <v>-387.64</v>
      </c>
      <c r="J11" s="23">
        <v>56.0</v>
      </c>
      <c r="K11" s="23">
        <v>27.0</v>
      </c>
      <c r="L11" s="23">
        <f t="shared" si="2"/>
        <v>29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4"/>
      <c r="B12" s="22" t="s">
        <v>23</v>
      </c>
      <c r="C12" s="23">
        <v>861.9</v>
      </c>
      <c r="D12" s="23">
        <v>44.0</v>
      </c>
      <c r="E12" s="23">
        <v>28.0</v>
      </c>
      <c r="F12" s="23">
        <f t="shared" si="1"/>
        <v>16</v>
      </c>
      <c r="G12" s="18"/>
      <c r="H12" s="22" t="s">
        <v>23</v>
      </c>
      <c r="I12" s="23">
        <v>-747.64</v>
      </c>
      <c r="J12" s="23">
        <v>49.0</v>
      </c>
      <c r="K12" s="23">
        <v>22.0</v>
      </c>
      <c r="L12" s="23">
        <f t="shared" si="2"/>
        <v>27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1"/>
      <c r="B13" s="22" t="s">
        <v>24</v>
      </c>
      <c r="C13" s="23">
        <v>1961.53</v>
      </c>
      <c r="D13" s="23">
        <v>48.0</v>
      </c>
      <c r="E13" s="23">
        <v>26.0</v>
      </c>
      <c r="F13" s="23">
        <f t="shared" si="1"/>
        <v>22</v>
      </c>
      <c r="G13" s="18"/>
      <c r="H13" s="22" t="s">
        <v>24</v>
      </c>
      <c r="I13" s="23">
        <v>2318.39</v>
      </c>
      <c r="J13" s="23">
        <v>47.0</v>
      </c>
      <c r="K13" s="23">
        <v>27.0</v>
      </c>
      <c r="L13" s="23">
        <f t="shared" si="2"/>
        <v>20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4"/>
      <c r="B14" s="22" t="s">
        <v>25</v>
      </c>
      <c r="C14" s="23">
        <v>1466.26</v>
      </c>
      <c r="D14" s="23">
        <v>52.0</v>
      </c>
      <c r="E14" s="23">
        <v>29.0</v>
      </c>
      <c r="F14" s="23">
        <f t="shared" si="1"/>
        <v>23</v>
      </c>
      <c r="G14" s="18"/>
      <c r="H14" s="22" t="s">
        <v>25</v>
      </c>
      <c r="I14" s="23">
        <v>1839.4</v>
      </c>
      <c r="J14" s="23">
        <v>55.0</v>
      </c>
      <c r="K14" s="23">
        <v>29.0</v>
      </c>
      <c r="L14" s="23">
        <f t="shared" si="2"/>
        <v>26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1"/>
      <c r="B15" s="22" t="s">
        <v>26</v>
      </c>
      <c r="C15" s="23">
        <v>2579.08</v>
      </c>
      <c r="D15" s="23">
        <v>57.0</v>
      </c>
      <c r="E15" s="23">
        <v>31.0</v>
      </c>
      <c r="F15" s="23">
        <f t="shared" si="1"/>
        <v>26</v>
      </c>
      <c r="G15" s="18"/>
      <c r="H15" s="22" t="s">
        <v>26</v>
      </c>
      <c r="I15" s="23">
        <v>661.43</v>
      </c>
      <c r="J15" s="23">
        <v>55.0</v>
      </c>
      <c r="K15" s="23">
        <v>26.0</v>
      </c>
      <c r="L15" s="23">
        <f t="shared" si="2"/>
        <v>29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2" t="s">
        <v>27</v>
      </c>
      <c r="C16" s="23">
        <v>2097.47</v>
      </c>
      <c r="D16" s="23">
        <v>43.0</v>
      </c>
      <c r="E16" s="23">
        <v>25.0</v>
      </c>
      <c r="F16" s="23">
        <f t="shared" si="1"/>
        <v>18</v>
      </c>
      <c r="G16" s="18"/>
      <c r="H16" s="22" t="s">
        <v>27</v>
      </c>
      <c r="I16" s="23">
        <v>-667.84</v>
      </c>
      <c r="J16" s="23">
        <v>52.0</v>
      </c>
      <c r="K16" s="23">
        <v>26.0</v>
      </c>
      <c r="L16" s="23">
        <f t="shared" si="2"/>
        <v>26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3"/>
      <c r="B17" s="3"/>
      <c r="C17" s="3"/>
      <c r="D17" s="3">
        <f t="shared" ref="D17:F17" si="3">SUM(D6:D16)</f>
        <v>536</v>
      </c>
      <c r="E17" s="3">
        <f t="shared" si="3"/>
        <v>279</v>
      </c>
      <c r="F17" s="3">
        <f t="shared" si="3"/>
        <v>257</v>
      </c>
      <c r="G17" s="3"/>
      <c r="H17" s="3"/>
      <c r="I17" s="3"/>
      <c r="J17" s="3">
        <f t="shared" ref="J17:L17" si="4">SUM(J6:J16)</f>
        <v>585</v>
      </c>
      <c r="K17" s="3">
        <f t="shared" si="4"/>
        <v>296</v>
      </c>
      <c r="L17" s="3">
        <f t="shared" si="4"/>
        <v>289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/>
      <c r="B18" s="8" t="s">
        <v>28</v>
      </c>
      <c r="C18" s="18"/>
      <c r="D18" s="18"/>
      <c r="E18" s="18"/>
      <c r="F18" s="18"/>
      <c r="G18" s="18"/>
      <c r="H18" s="8" t="s">
        <v>28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3"/>
      <c r="B19" s="9" t="s">
        <v>12</v>
      </c>
      <c r="C19" s="10" t="s">
        <v>13</v>
      </c>
      <c r="D19" s="11" t="s">
        <v>14</v>
      </c>
      <c r="E19" s="11" t="s">
        <v>15</v>
      </c>
      <c r="F19" s="11" t="s">
        <v>16</v>
      </c>
      <c r="G19" s="3"/>
      <c r="H19" s="9" t="s">
        <v>12</v>
      </c>
      <c r="I19" s="10" t="s">
        <v>13</v>
      </c>
      <c r="J19" s="11" t="s">
        <v>14</v>
      </c>
      <c r="K19" s="11" t="s">
        <v>15</v>
      </c>
      <c r="L19" s="11" t="s">
        <v>16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8"/>
      <c r="B20" s="22" t="s">
        <v>17</v>
      </c>
      <c r="C20" s="23">
        <v>-1977.44</v>
      </c>
      <c r="D20" s="23">
        <v>50.0</v>
      </c>
      <c r="E20" s="23">
        <v>19.0</v>
      </c>
      <c r="F20" s="23">
        <f t="shared" ref="F20:F30" si="5">D20-E20</f>
        <v>31</v>
      </c>
      <c r="G20" s="18"/>
      <c r="H20" s="22" t="s">
        <v>17</v>
      </c>
      <c r="I20" s="23">
        <v>435.54</v>
      </c>
      <c r="J20" s="23">
        <v>47.0</v>
      </c>
      <c r="K20" s="23">
        <v>26.0</v>
      </c>
      <c r="L20" s="23">
        <f t="shared" ref="L20:L30" si="6">J20-K20</f>
        <v>21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2" t="s">
        <v>18</v>
      </c>
      <c r="C21" s="23">
        <v>-236.8</v>
      </c>
      <c r="D21" s="23">
        <v>50.0</v>
      </c>
      <c r="E21" s="23">
        <v>25.0</v>
      </c>
      <c r="F21" s="23">
        <f t="shared" si="5"/>
        <v>25</v>
      </c>
      <c r="G21" s="18"/>
      <c r="H21" s="22" t="s">
        <v>18</v>
      </c>
      <c r="I21" s="23">
        <v>-1070.4</v>
      </c>
      <c r="J21" s="23">
        <v>56.0</v>
      </c>
      <c r="K21" s="23">
        <v>26.0</v>
      </c>
      <c r="L21" s="23">
        <f t="shared" si="6"/>
        <v>30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2" t="s">
        <v>19</v>
      </c>
      <c r="C22" s="23">
        <v>-308.49</v>
      </c>
      <c r="D22" s="23">
        <v>54.0</v>
      </c>
      <c r="E22" s="23">
        <v>25.0</v>
      </c>
      <c r="F22" s="23">
        <f t="shared" si="5"/>
        <v>29</v>
      </c>
      <c r="G22" s="18"/>
      <c r="H22" s="22" t="s">
        <v>19</v>
      </c>
      <c r="I22" s="23">
        <v>433.74</v>
      </c>
      <c r="J22" s="23">
        <v>48.0</v>
      </c>
      <c r="K22" s="23">
        <v>21.0</v>
      </c>
      <c r="L22" s="23">
        <f t="shared" si="6"/>
        <v>27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2" t="s">
        <v>20</v>
      </c>
      <c r="C23" s="23">
        <v>1039.57</v>
      </c>
      <c r="D23" s="23">
        <v>44.0</v>
      </c>
      <c r="E23" s="23">
        <v>21.0</v>
      </c>
      <c r="F23" s="23">
        <f t="shared" si="5"/>
        <v>23</v>
      </c>
      <c r="G23" s="18"/>
      <c r="H23" s="22" t="s">
        <v>20</v>
      </c>
      <c r="I23" s="23">
        <v>1330.07</v>
      </c>
      <c r="J23" s="23">
        <v>45.0</v>
      </c>
      <c r="K23" s="23">
        <v>28.0</v>
      </c>
      <c r="L23" s="23">
        <f t="shared" si="6"/>
        <v>17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2" t="s">
        <v>21</v>
      </c>
      <c r="C24" s="23">
        <v>887.29</v>
      </c>
      <c r="D24" s="23">
        <v>50.0</v>
      </c>
      <c r="E24" s="23">
        <v>25.0</v>
      </c>
      <c r="F24" s="23">
        <f t="shared" si="5"/>
        <v>25</v>
      </c>
      <c r="G24" s="18"/>
      <c r="H24" s="22" t="s">
        <v>21</v>
      </c>
      <c r="I24" s="23">
        <v>1846.34</v>
      </c>
      <c r="J24" s="23">
        <v>52.0</v>
      </c>
      <c r="K24" s="23">
        <v>27.0</v>
      </c>
      <c r="L24" s="23">
        <f t="shared" si="6"/>
        <v>25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2" t="s">
        <v>22</v>
      </c>
      <c r="C25" s="23">
        <v>205.75</v>
      </c>
      <c r="D25" s="23">
        <v>52.0</v>
      </c>
      <c r="E25" s="23">
        <v>22.0</v>
      </c>
      <c r="F25" s="23">
        <f t="shared" si="5"/>
        <v>30</v>
      </c>
      <c r="G25" s="18"/>
      <c r="H25" s="22" t="s">
        <v>22</v>
      </c>
      <c r="I25" s="23">
        <v>2292.39</v>
      </c>
      <c r="J25" s="23">
        <v>55.0</v>
      </c>
      <c r="K25" s="23">
        <v>33.0</v>
      </c>
      <c r="L25" s="23">
        <f t="shared" si="6"/>
        <v>22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2" t="s">
        <v>23</v>
      </c>
      <c r="C26" s="23">
        <v>-306.44</v>
      </c>
      <c r="D26" s="23">
        <v>49.0</v>
      </c>
      <c r="E26" s="23">
        <v>24.0</v>
      </c>
      <c r="F26" s="23">
        <f t="shared" si="5"/>
        <v>25</v>
      </c>
      <c r="G26" s="18"/>
      <c r="H26" s="22" t="s">
        <v>23</v>
      </c>
      <c r="I26" s="23">
        <v>190.3</v>
      </c>
      <c r="J26" s="23">
        <v>43.0</v>
      </c>
      <c r="K26" s="23">
        <v>23.0</v>
      </c>
      <c r="L26" s="23">
        <f t="shared" si="6"/>
        <v>20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2" t="s">
        <v>24</v>
      </c>
      <c r="C27" s="23">
        <v>-3234.27</v>
      </c>
      <c r="D27" s="23">
        <v>58.0</v>
      </c>
      <c r="E27" s="23">
        <v>18.0</v>
      </c>
      <c r="F27" s="23">
        <f t="shared" si="5"/>
        <v>40</v>
      </c>
      <c r="G27" s="18"/>
      <c r="H27" s="22" t="s">
        <v>24</v>
      </c>
      <c r="I27" s="23">
        <v>1907.86</v>
      </c>
      <c r="J27" s="23">
        <v>49.0</v>
      </c>
      <c r="K27" s="23">
        <v>30.0</v>
      </c>
      <c r="L27" s="23">
        <f t="shared" si="6"/>
        <v>19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2" t="s">
        <v>25</v>
      </c>
      <c r="C28" s="23">
        <v>-1124.88</v>
      </c>
      <c r="D28" s="23">
        <v>52.0</v>
      </c>
      <c r="E28" s="23">
        <v>19.0</v>
      </c>
      <c r="F28" s="23">
        <f t="shared" si="5"/>
        <v>33</v>
      </c>
      <c r="G28" s="18"/>
      <c r="H28" s="22" t="s">
        <v>25</v>
      </c>
      <c r="I28" s="23">
        <v>1584.35</v>
      </c>
      <c r="J28" s="23">
        <v>52.0</v>
      </c>
      <c r="K28" s="23">
        <v>33.0</v>
      </c>
      <c r="L28" s="23">
        <f t="shared" si="6"/>
        <v>19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2" t="s">
        <v>26</v>
      </c>
      <c r="C29" s="23">
        <v>-994.86</v>
      </c>
      <c r="D29" s="23">
        <v>55.0</v>
      </c>
      <c r="E29" s="23">
        <v>22.0</v>
      </c>
      <c r="F29" s="23">
        <f t="shared" si="5"/>
        <v>33</v>
      </c>
      <c r="G29" s="18"/>
      <c r="H29" s="22" t="s">
        <v>26</v>
      </c>
      <c r="I29" s="23">
        <v>687.1</v>
      </c>
      <c r="J29" s="23">
        <v>56.0</v>
      </c>
      <c r="K29" s="23">
        <v>29.0</v>
      </c>
      <c r="L29" s="23">
        <f t="shared" si="6"/>
        <v>27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2" t="s">
        <v>27</v>
      </c>
      <c r="C30" s="23">
        <v>-1513.78</v>
      </c>
      <c r="D30" s="23">
        <v>51.0</v>
      </c>
      <c r="E30" s="23">
        <v>18.0</v>
      </c>
      <c r="F30" s="23">
        <f t="shared" si="5"/>
        <v>33</v>
      </c>
      <c r="G30" s="18"/>
      <c r="H30" s="22" t="s">
        <v>27</v>
      </c>
      <c r="I30" s="23">
        <v>1158.74</v>
      </c>
      <c r="J30" s="23">
        <v>51.0</v>
      </c>
      <c r="K30" s="23">
        <v>29.0</v>
      </c>
      <c r="L30" s="23">
        <f t="shared" si="6"/>
        <v>22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3"/>
      <c r="B31" s="3"/>
      <c r="C31" s="3"/>
      <c r="D31" s="3">
        <f t="shared" ref="D31:F31" si="7">SUM(D20:D30)</f>
        <v>565</v>
      </c>
      <c r="E31" s="3">
        <f t="shared" si="7"/>
        <v>238</v>
      </c>
      <c r="F31" s="3">
        <f t="shared" si="7"/>
        <v>327</v>
      </c>
      <c r="G31" s="3"/>
      <c r="H31" s="3"/>
      <c r="I31" s="3"/>
      <c r="J31" s="3">
        <f t="shared" ref="J31:L31" si="8">SUM(J20:J30)</f>
        <v>554</v>
      </c>
      <c r="K31" s="3">
        <f t="shared" si="8"/>
        <v>305</v>
      </c>
      <c r="L31" s="3">
        <f t="shared" si="8"/>
        <v>249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8"/>
      <c r="B32" s="8" t="s">
        <v>29</v>
      </c>
      <c r="C32" s="18"/>
      <c r="D32" s="18"/>
      <c r="E32" s="18"/>
      <c r="F32" s="18"/>
      <c r="G32" s="18"/>
      <c r="H32" s="8" t="s">
        <v>29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3"/>
      <c r="B33" s="9" t="s">
        <v>12</v>
      </c>
      <c r="C33" s="10" t="s">
        <v>13</v>
      </c>
      <c r="D33" s="11" t="s">
        <v>14</v>
      </c>
      <c r="E33" s="11" t="s">
        <v>15</v>
      </c>
      <c r="F33" s="11" t="s">
        <v>16</v>
      </c>
      <c r="G33" s="3"/>
      <c r="H33" s="9" t="s">
        <v>12</v>
      </c>
      <c r="I33" s="10" t="s">
        <v>13</v>
      </c>
      <c r="J33" s="11" t="s">
        <v>14</v>
      </c>
      <c r="K33" s="11" t="s">
        <v>15</v>
      </c>
      <c r="L33" s="11" t="s">
        <v>16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8"/>
      <c r="B34" s="22" t="s">
        <v>17</v>
      </c>
      <c r="C34" s="23">
        <v>-504.64</v>
      </c>
      <c r="D34" s="23">
        <v>48.0</v>
      </c>
      <c r="E34" s="23">
        <v>21.0</v>
      </c>
      <c r="F34" s="23">
        <f t="shared" ref="F34:F44" si="9">D34-E34</f>
        <v>27</v>
      </c>
      <c r="G34" s="18"/>
      <c r="H34" s="22" t="s">
        <v>17</v>
      </c>
      <c r="I34" s="23">
        <v>364.94</v>
      </c>
      <c r="J34" s="23">
        <v>46.0</v>
      </c>
      <c r="K34" s="23">
        <v>26.0</v>
      </c>
      <c r="L34" s="23">
        <f t="shared" ref="L34:L44" si="10">J34-K34</f>
        <v>20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2" t="s">
        <v>18</v>
      </c>
      <c r="C35" s="23">
        <v>-513.1</v>
      </c>
      <c r="D35" s="23">
        <v>49.0</v>
      </c>
      <c r="E35" s="23">
        <v>26.0</v>
      </c>
      <c r="F35" s="23">
        <f t="shared" si="9"/>
        <v>23</v>
      </c>
      <c r="G35" s="18"/>
      <c r="H35" s="22" t="s">
        <v>18</v>
      </c>
      <c r="I35" s="23">
        <v>895.24</v>
      </c>
      <c r="J35" s="23">
        <v>50.0</v>
      </c>
      <c r="K35" s="23">
        <v>29.0</v>
      </c>
      <c r="L35" s="23">
        <f t="shared" si="10"/>
        <v>21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2" t="s">
        <v>19</v>
      </c>
      <c r="C36" s="23">
        <v>-136.85</v>
      </c>
      <c r="D36" s="23">
        <v>51.0</v>
      </c>
      <c r="E36" s="23">
        <v>21.0</v>
      </c>
      <c r="F36" s="23">
        <f t="shared" si="9"/>
        <v>30</v>
      </c>
      <c r="G36" s="18"/>
      <c r="H36" s="22" t="s">
        <v>19</v>
      </c>
      <c r="I36" s="23">
        <v>-147.54</v>
      </c>
      <c r="J36" s="23">
        <v>45.0</v>
      </c>
      <c r="K36" s="23">
        <v>25.0</v>
      </c>
      <c r="L36" s="23">
        <f t="shared" si="10"/>
        <v>20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2" t="s">
        <v>20</v>
      </c>
      <c r="C37" s="23">
        <v>1285.57</v>
      </c>
      <c r="D37" s="23">
        <v>42.0</v>
      </c>
      <c r="E37" s="23">
        <v>22.0</v>
      </c>
      <c r="F37" s="23">
        <f t="shared" si="9"/>
        <v>20</v>
      </c>
      <c r="G37" s="18"/>
      <c r="H37" s="22" t="s">
        <v>20</v>
      </c>
      <c r="I37" s="23">
        <v>2532.84</v>
      </c>
      <c r="J37" s="23">
        <v>39.0</v>
      </c>
      <c r="K37" s="23">
        <v>24.0</v>
      </c>
      <c r="L37" s="23">
        <f t="shared" si="10"/>
        <v>15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2" t="s">
        <v>21</v>
      </c>
      <c r="C38" s="23">
        <v>1099.05</v>
      </c>
      <c r="D38" s="23">
        <v>47.0</v>
      </c>
      <c r="E38" s="23">
        <v>26.0</v>
      </c>
      <c r="F38" s="23">
        <f t="shared" si="9"/>
        <v>21</v>
      </c>
      <c r="G38" s="18"/>
      <c r="H38" s="22" t="s">
        <v>21</v>
      </c>
      <c r="I38" s="23">
        <v>-1588.8</v>
      </c>
      <c r="J38" s="23">
        <v>49.0</v>
      </c>
      <c r="K38" s="23">
        <v>24.0</v>
      </c>
      <c r="L38" s="23">
        <f t="shared" si="10"/>
        <v>25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2" t="s">
        <v>22</v>
      </c>
      <c r="C39" s="23">
        <v>-326.69</v>
      </c>
      <c r="D39" s="23">
        <v>56.0</v>
      </c>
      <c r="E39" s="23">
        <v>24.0</v>
      </c>
      <c r="F39" s="23">
        <f t="shared" si="9"/>
        <v>32</v>
      </c>
      <c r="G39" s="18"/>
      <c r="H39" s="22" t="s">
        <v>22</v>
      </c>
      <c r="I39" s="23">
        <v>-713.75</v>
      </c>
      <c r="J39" s="23">
        <v>52.0</v>
      </c>
      <c r="K39" s="23">
        <v>19.0</v>
      </c>
      <c r="L39" s="23">
        <f t="shared" si="10"/>
        <v>33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2" t="s">
        <v>23</v>
      </c>
      <c r="C40" s="23">
        <v>534.2</v>
      </c>
      <c r="D40" s="26">
        <v>40.0</v>
      </c>
      <c r="E40" s="23">
        <v>19.0</v>
      </c>
      <c r="F40" s="23">
        <f t="shared" si="9"/>
        <v>21</v>
      </c>
      <c r="G40" s="18"/>
      <c r="H40" s="22" t="s">
        <v>23</v>
      </c>
      <c r="I40" s="23">
        <v>119.94</v>
      </c>
      <c r="J40" s="23">
        <v>40.0</v>
      </c>
      <c r="K40" s="23">
        <v>18.0</v>
      </c>
      <c r="L40" s="23">
        <f t="shared" si="10"/>
        <v>22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2" t="s">
        <v>24</v>
      </c>
      <c r="C41" s="23">
        <v>-103.88</v>
      </c>
      <c r="D41" s="23">
        <v>55.0</v>
      </c>
      <c r="E41" s="23">
        <v>27.0</v>
      </c>
      <c r="F41" s="23">
        <f t="shared" si="9"/>
        <v>28</v>
      </c>
      <c r="G41" s="18"/>
      <c r="H41" s="22" t="s">
        <v>24</v>
      </c>
      <c r="I41" s="23">
        <v>-1238.8</v>
      </c>
      <c r="J41" s="23">
        <v>54.0</v>
      </c>
      <c r="K41" s="23">
        <v>27.0</v>
      </c>
      <c r="L41" s="23">
        <f t="shared" si="10"/>
        <v>27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2" t="s">
        <v>25</v>
      </c>
      <c r="C42" s="23">
        <v>39.59</v>
      </c>
      <c r="D42" s="23">
        <v>54.0</v>
      </c>
      <c r="E42" s="23">
        <v>24.0</v>
      </c>
      <c r="F42" s="23">
        <f t="shared" si="9"/>
        <v>30</v>
      </c>
      <c r="G42" s="18"/>
      <c r="H42" s="22" t="s">
        <v>25</v>
      </c>
      <c r="I42" s="23">
        <v>43.69</v>
      </c>
      <c r="J42" s="23">
        <v>49.0</v>
      </c>
      <c r="K42" s="23">
        <v>25.0</v>
      </c>
      <c r="L42" s="23">
        <f t="shared" si="10"/>
        <v>24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2" t="s">
        <v>26</v>
      </c>
      <c r="C43" s="23">
        <v>2743.17</v>
      </c>
      <c r="D43" s="23">
        <v>56.0</v>
      </c>
      <c r="E43" s="23">
        <v>31.0</v>
      </c>
      <c r="F43" s="23">
        <f t="shared" si="9"/>
        <v>25</v>
      </c>
      <c r="G43" s="18"/>
      <c r="H43" s="22" t="s">
        <v>26</v>
      </c>
      <c r="I43" s="23">
        <v>-459.79</v>
      </c>
      <c r="J43" s="23">
        <v>51.0</v>
      </c>
      <c r="K43" s="23">
        <v>26.0</v>
      </c>
      <c r="L43" s="23">
        <f t="shared" si="10"/>
        <v>25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2" t="s">
        <v>27</v>
      </c>
      <c r="C44" s="23">
        <v>811.75</v>
      </c>
      <c r="D44" s="23">
        <v>47.0</v>
      </c>
      <c r="E44" s="23">
        <v>24.0</v>
      </c>
      <c r="F44" s="23">
        <f t="shared" si="9"/>
        <v>23</v>
      </c>
      <c r="G44" s="18"/>
      <c r="H44" s="22" t="s">
        <v>27</v>
      </c>
      <c r="I44" s="23">
        <v>-965.08</v>
      </c>
      <c r="J44" s="23">
        <v>42.0</v>
      </c>
      <c r="K44" s="23">
        <v>16.0</v>
      </c>
      <c r="L44" s="23">
        <f t="shared" si="10"/>
        <v>26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3"/>
      <c r="B45" s="3"/>
      <c r="C45" s="3"/>
      <c r="D45" s="3">
        <f t="shared" ref="D45:F45" si="11">SUM(D34:D44)</f>
        <v>545</v>
      </c>
      <c r="E45" s="3">
        <f t="shared" si="11"/>
        <v>265</v>
      </c>
      <c r="F45" s="3">
        <f t="shared" si="11"/>
        <v>280</v>
      </c>
      <c r="G45" s="3"/>
      <c r="H45" s="3"/>
      <c r="I45" s="3"/>
      <c r="J45" s="3">
        <f t="shared" ref="J45:L45" si="12">SUM(J34:J44)</f>
        <v>517</v>
      </c>
      <c r="K45" s="3">
        <f t="shared" si="12"/>
        <v>259</v>
      </c>
      <c r="L45" s="3">
        <f t="shared" si="12"/>
        <v>258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/>
      <c r="B46" s="8" t="s">
        <v>30</v>
      </c>
      <c r="C46" s="18"/>
      <c r="D46" s="18"/>
      <c r="E46" s="18"/>
      <c r="F46" s="18"/>
      <c r="G46" s="18"/>
      <c r="H46" s="8" t="s">
        <v>30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3"/>
      <c r="B47" s="9" t="s">
        <v>12</v>
      </c>
      <c r="C47" s="10" t="s">
        <v>13</v>
      </c>
      <c r="D47" s="11" t="s">
        <v>14</v>
      </c>
      <c r="E47" s="11" t="s">
        <v>15</v>
      </c>
      <c r="F47" s="11" t="s">
        <v>16</v>
      </c>
      <c r="G47" s="3"/>
      <c r="H47" s="9" t="s">
        <v>12</v>
      </c>
      <c r="I47" s="10" t="s">
        <v>13</v>
      </c>
      <c r="J47" s="11" t="s">
        <v>14</v>
      </c>
      <c r="K47" s="11" t="s">
        <v>15</v>
      </c>
      <c r="L47" s="11" t="s">
        <v>16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8"/>
      <c r="B48" s="22" t="s">
        <v>17</v>
      </c>
      <c r="C48" s="23">
        <v>-1505.14</v>
      </c>
      <c r="D48" s="23">
        <v>47.0</v>
      </c>
      <c r="E48" s="23">
        <v>20.0</v>
      </c>
      <c r="F48" s="23">
        <f t="shared" ref="F48:F58" si="13">D48-E48</f>
        <v>27</v>
      </c>
      <c r="G48" s="18"/>
      <c r="H48" s="22" t="s">
        <v>17</v>
      </c>
      <c r="I48" s="23">
        <v>1239.49</v>
      </c>
      <c r="J48" s="23">
        <v>44.0</v>
      </c>
      <c r="K48" s="23">
        <v>26.0</v>
      </c>
      <c r="L48" s="23">
        <f t="shared" ref="L48:L58" si="14">J48-K48</f>
        <v>18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2" t="s">
        <v>18</v>
      </c>
      <c r="C49" s="23">
        <v>938.2</v>
      </c>
      <c r="D49" s="23">
        <v>42.0</v>
      </c>
      <c r="E49" s="23">
        <v>21.0</v>
      </c>
      <c r="F49" s="23">
        <f t="shared" si="13"/>
        <v>21</v>
      </c>
      <c r="G49" s="18"/>
      <c r="H49" s="22" t="s">
        <v>18</v>
      </c>
      <c r="I49" s="23">
        <v>2288.24</v>
      </c>
      <c r="J49" s="23">
        <v>43.0</v>
      </c>
      <c r="K49" s="23">
        <v>27.0</v>
      </c>
      <c r="L49" s="23">
        <f t="shared" si="14"/>
        <v>16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2" t="s">
        <v>19</v>
      </c>
      <c r="C50" s="23">
        <v>263.2</v>
      </c>
      <c r="D50" s="23">
        <v>56.0</v>
      </c>
      <c r="E50" s="23">
        <v>30.0</v>
      </c>
      <c r="F50" s="23">
        <f t="shared" si="13"/>
        <v>26</v>
      </c>
      <c r="G50" s="18"/>
      <c r="H50" s="22" t="s">
        <v>19</v>
      </c>
      <c r="I50" s="23">
        <v>135.04</v>
      </c>
      <c r="J50" s="23">
        <v>53.0</v>
      </c>
      <c r="K50" s="23">
        <v>20.0</v>
      </c>
      <c r="L50" s="23">
        <f t="shared" si="14"/>
        <v>33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2" t="s">
        <v>20</v>
      </c>
      <c r="C51" s="23">
        <v>-186.99</v>
      </c>
      <c r="D51" s="23">
        <v>45.0</v>
      </c>
      <c r="E51" s="23">
        <v>22.0</v>
      </c>
      <c r="F51" s="23">
        <f t="shared" si="13"/>
        <v>23</v>
      </c>
      <c r="G51" s="18"/>
      <c r="H51" s="22" t="s">
        <v>20</v>
      </c>
      <c r="I51" s="23">
        <v>1361.33</v>
      </c>
      <c r="J51" s="23">
        <v>40.0</v>
      </c>
      <c r="K51" s="23">
        <v>22.0</v>
      </c>
      <c r="L51" s="23">
        <f t="shared" si="14"/>
        <v>18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2" t="s">
        <v>21</v>
      </c>
      <c r="C52" s="23">
        <v>985.25</v>
      </c>
      <c r="D52" s="23">
        <v>54.0</v>
      </c>
      <c r="E52" s="23">
        <v>28.0</v>
      </c>
      <c r="F52" s="23">
        <f t="shared" si="13"/>
        <v>26</v>
      </c>
      <c r="G52" s="18"/>
      <c r="H52" s="22" t="s">
        <v>21</v>
      </c>
      <c r="I52" s="23">
        <v>686.29</v>
      </c>
      <c r="J52" s="23">
        <v>57.0</v>
      </c>
      <c r="K52" s="23">
        <v>28.0</v>
      </c>
      <c r="L52" s="23">
        <f t="shared" si="14"/>
        <v>29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2" t="s">
        <v>22</v>
      </c>
      <c r="C53" s="23">
        <v>-387.64</v>
      </c>
      <c r="D53" s="23">
        <v>56.0</v>
      </c>
      <c r="E53" s="23">
        <v>27.0</v>
      </c>
      <c r="F53" s="23">
        <f t="shared" si="13"/>
        <v>29</v>
      </c>
      <c r="G53" s="18"/>
      <c r="H53" s="22" t="s">
        <v>22</v>
      </c>
      <c r="I53" s="23">
        <v>492.44</v>
      </c>
      <c r="J53" s="23">
        <v>55.0</v>
      </c>
      <c r="K53" s="23">
        <v>23.0</v>
      </c>
      <c r="L53" s="23">
        <f t="shared" si="14"/>
        <v>32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2" t="s">
        <v>23</v>
      </c>
      <c r="C54" s="23">
        <v>-747.64</v>
      </c>
      <c r="D54" s="23">
        <v>49.0</v>
      </c>
      <c r="E54" s="23">
        <v>22.0</v>
      </c>
      <c r="F54" s="23">
        <f t="shared" si="13"/>
        <v>27</v>
      </c>
      <c r="G54" s="18"/>
      <c r="H54" s="22" t="s">
        <v>23</v>
      </c>
      <c r="I54" s="23">
        <v>1587.89</v>
      </c>
      <c r="J54" s="23">
        <v>47.0</v>
      </c>
      <c r="K54" s="23">
        <v>26.0</v>
      </c>
      <c r="L54" s="23">
        <f t="shared" si="14"/>
        <v>21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2" t="s">
        <v>24</v>
      </c>
      <c r="C55" s="23">
        <v>2318.39</v>
      </c>
      <c r="D55" s="23">
        <v>47.0</v>
      </c>
      <c r="E55" s="23">
        <v>27.0</v>
      </c>
      <c r="F55" s="23">
        <f t="shared" si="13"/>
        <v>20</v>
      </c>
      <c r="G55" s="18"/>
      <c r="H55" s="22" t="s">
        <v>24</v>
      </c>
      <c r="I55" s="23">
        <v>387.63</v>
      </c>
      <c r="J55" s="23">
        <v>48.0</v>
      </c>
      <c r="K55" s="23">
        <v>21.0</v>
      </c>
      <c r="L55" s="23">
        <f t="shared" si="14"/>
        <v>27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2" t="s">
        <v>25</v>
      </c>
      <c r="C56" s="23">
        <v>1839.4</v>
      </c>
      <c r="D56" s="23">
        <v>55.0</v>
      </c>
      <c r="E56" s="23">
        <v>29.0</v>
      </c>
      <c r="F56" s="23">
        <f t="shared" si="13"/>
        <v>26</v>
      </c>
      <c r="G56" s="18"/>
      <c r="H56" s="22" t="s">
        <v>25</v>
      </c>
      <c r="I56" s="23">
        <v>-2974.45</v>
      </c>
      <c r="J56" s="23">
        <v>48.0</v>
      </c>
      <c r="K56" s="23">
        <v>14.0</v>
      </c>
      <c r="L56" s="23">
        <f t="shared" si="14"/>
        <v>34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2" t="s">
        <v>26</v>
      </c>
      <c r="C57" s="23">
        <v>661.43</v>
      </c>
      <c r="D57" s="23">
        <v>55.0</v>
      </c>
      <c r="E57" s="23">
        <v>26.0</v>
      </c>
      <c r="F57" s="23">
        <f t="shared" si="13"/>
        <v>29</v>
      </c>
      <c r="G57" s="18"/>
      <c r="H57" s="22" t="s">
        <v>26</v>
      </c>
      <c r="I57" s="23">
        <v>-1031.59</v>
      </c>
      <c r="J57" s="23">
        <v>57.0</v>
      </c>
      <c r="K57" s="23">
        <v>19.0</v>
      </c>
      <c r="L57" s="23">
        <f t="shared" si="14"/>
        <v>38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2" t="s">
        <v>27</v>
      </c>
      <c r="C58" s="23">
        <v>-667.84</v>
      </c>
      <c r="D58" s="23">
        <v>52.0</v>
      </c>
      <c r="E58" s="23">
        <v>26.0</v>
      </c>
      <c r="F58" s="23">
        <f t="shared" si="13"/>
        <v>26</v>
      </c>
      <c r="G58" s="18"/>
      <c r="H58" s="22" t="s">
        <v>27</v>
      </c>
      <c r="I58" s="23">
        <v>-785.95</v>
      </c>
      <c r="J58" s="23">
        <v>51.0</v>
      </c>
      <c r="K58" s="23">
        <v>18.0</v>
      </c>
      <c r="L58" s="23">
        <f t="shared" si="14"/>
        <v>33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3"/>
      <c r="B59" s="3"/>
      <c r="C59" s="3"/>
      <c r="D59" s="3">
        <f t="shared" ref="D59:F59" si="15">SUM(D48:D58)</f>
        <v>558</v>
      </c>
      <c r="E59" s="3">
        <f t="shared" si="15"/>
        <v>278</v>
      </c>
      <c r="F59" s="3">
        <f t="shared" si="15"/>
        <v>280</v>
      </c>
      <c r="G59" s="3"/>
      <c r="H59" s="3"/>
      <c r="I59" s="3"/>
      <c r="J59" s="3">
        <f t="shared" ref="J59:L59" si="16">SUM(J48:J58)</f>
        <v>543</v>
      </c>
      <c r="K59" s="3">
        <f t="shared" si="16"/>
        <v>244</v>
      </c>
      <c r="L59" s="3">
        <f t="shared" si="16"/>
        <v>299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3"/>
      <c r="B60" s="3"/>
      <c r="C60" s="15" t="s">
        <v>31</v>
      </c>
      <c r="D60" s="3">
        <f t="shared" ref="D60:F60" si="17">D59+D45+D31+D17</f>
        <v>2204</v>
      </c>
      <c r="E60" s="3">
        <f t="shared" si="17"/>
        <v>1060</v>
      </c>
      <c r="F60" s="3">
        <f t="shared" si="17"/>
        <v>1144</v>
      </c>
      <c r="G60" s="3"/>
      <c r="H60" s="3"/>
      <c r="I60" s="15" t="s">
        <v>32</v>
      </c>
      <c r="J60" s="3">
        <f t="shared" ref="J60:L60" si="18">J59+J45+J31+J17</f>
        <v>2199</v>
      </c>
      <c r="K60" s="3">
        <f t="shared" si="18"/>
        <v>1104</v>
      </c>
      <c r="L60" s="3">
        <f t="shared" si="18"/>
        <v>1095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3"/>
      <c r="B61" s="3"/>
      <c r="C61" s="15" t="s">
        <v>33</v>
      </c>
      <c r="D61" s="3">
        <f t="shared" ref="D61:F61" si="19">D60+J60</f>
        <v>4403</v>
      </c>
      <c r="E61" s="3">
        <f t="shared" si="19"/>
        <v>2164</v>
      </c>
      <c r="F61" s="3">
        <f t="shared" si="19"/>
        <v>2239</v>
      </c>
      <c r="G61" s="3"/>
      <c r="H61" s="3"/>
      <c r="I61" s="3"/>
      <c r="J61" s="3"/>
      <c r="K61" s="3"/>
      <c r="L61" s="3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3"/>
      <c r="B62" s="3"/>
      <c r="C62" s="15" t="s">
        <v>34</v>
      </c>
      <c r="D62" s="16">
        <f>E61/D61</f>
        <v>0.4914830797</v>
      </c>
      <c r="E62" s="3"/>
      <c r="F62" s="3"/>
      <c r="G62" s="3"/>
      <c r="H62" s="3"/>
      <c r="I62" s="3"/>
      <c r="J62" s="3"/>
      <c r="K62" s="3"/>
      <c r="L62" s="3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3"/>
      <c r="B63" s="3"/>
      <c r="C63" s="15" t="s">
        <v>35</v>
      </c>
      <c r="D63" s="17">
        <f>1-D62</f>
        <v>0.5085169203</v>
      </c>
      <c r="E63" s="3"/>
      <c r="F63" s="3"/>
      <c r="G63" s="3"/>
      <c r="H63" s="3"/>
      <c r="I63" s="3"/>
      <c r="J63" s="3"/>
      <c r="K63" s="3"/>
      <c r="L63" s="3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B1:L1"/>
    <mergeCell ref="B3:F3"/>
    <mergeCell ref="H3:L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  <col customWidth="1" min="5" max="5" width="14.13"/>
    <col customWidth="1" min="6" max="6" width="13.5"/>
    <col customWidth="1" min="10" max="10" width="17.75"/>
    <col customWidth="1" min="11" max="11" width="13.38"/>
    <col customWidth="1" min="12" max="12" width="13.63"/>
  </cols>
  <sheetData>
    <row r="1">
      <c r="A1" s="18"/>
      <c r="B1" s="19" t="s">
        <v>8</v>
      </c>
      <c r="C1" s="5"/>
      <c r="D1" s="5"/>
      <c r="E1" s="5"/>
      <c r="F1" s="5"/>
      <c r="G1" s="5"/>
      <c r="H1" s="5"/>
      <c r="I1" s="5"/>
      <c r="J1" s="5"/>
      <c r="K1" s="5"/>
      <c r="L1" s="6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7" t="s">
        <v>9</v>
      </c>
      <c r="C3" s="5"/>
      <c r="D3" s="5"/>
      <c r="E3" s="5"/>
      <c r="F3" s="6"/>
      <c r="G3" s="18"/>
      <c r="H3" s="7" t="s">
        <v>10</v>
      </c>
      <c r="I3" s="5"/>
      <c r="J3" s="5"/>
      <c r="K3" s="5"/>
      <c r="L3" s="6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8" t="s">
        <v>11</v>
      </c>
      <c r="C4" s="20"/>
      <c r="D4" s="20"/>
      <c r="E4" s="20"/>
      <c r="F4" s="20"/>
      <c r="G4" s="18"/>
      <c r="H4" s="8" t="s">
        <v>11</v>
      </c>
      <c r="I4" s="20"/>
      <c r="J4" s="20"/>
      <c r="K4" s="20"/>
      <c r="L4" s="20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3"/>
      <c r="B5" s="9" t="s">
        <v>12</v>
      </c>
      <c r="C5" s="10" t="s">
        <v>13</v>
      </c>
      <c r="D5" s="11" t="s">
        <v>14</v>
      </c>
      <c r="E5" s="11" t="s">
        <v>15</v>
      </c>
      <c r="F5" s="11" t="s">
        <v>16</v>
      </c>
      <c r="G5" s="3"/>
      <c r="H5" s="9" t="s">
        <v>12</v>
      </c>
      <c r="I5" s="10" t="s">
        <v>13</v>
      </c>
      <c r="J5" s="11" t="s">
        <v>14</v>
      </c>
      <c r="K5" s="11" t="s">
        <v>15</v>
      </c>
      <c r="L5" s="11" t="s">
        <v>16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/>
      <c r="B6" s="22" t="s">
        <v>17</v>
      </c>
      <c r="C6" s="23">
        <v>10.65</v>
      </c>
      <c r="D6" s="23">
        <v>63.0</v>
      </c>
      <c r="E6" s="23">
        <v>28.0</v>
      </c>
      <c r="F6" s="23">
        <f t="shared" ref="F6:F16" si="1">D6-E6</f>
        <v>35</v>
      </c>
      <c r="G6" s="18"/>
      <c r="H6" s="22" t="s">
        <v>17</v>
      </c>
      <c r="I6" s="23">
        <v>-438.0</v>
      </c>
      <c r="J6" s="23">
        <v>69.0</v>
      </c>
      <c r="K6" s="23">
        <v>32.0</v>
      </c>
      <c r="L6" s="23">
        <f t="shared" ref="L6:L16" si="2">J6-K6</f>
        <v>37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4"/>
      <c r="B7" s="22" t="s">
        <v>18</v>
      </c>
      <c r="C7" s="23">
        <v>-55.7</v>
      </c>
      <c r="D7" s="23">
        <v>68.0</v>
      </c>
      <c r="E7" s="23">
        <v>31.0</v>
      </c>
      <c r="F7" s="23">
        <f t="shared" si="1"/>
        <v>37</v>
      </c>
      <c r="G7" s="18"/>
      <c r="H7" s="22" t="s">
        <v>18</v>
      </c>
      <c r="I7" s="23">
        <v>858.39</v>
      </c>
      <c r="J7" s="23">
        <v>72.0</v>
      </c>
      <c r="K7" s="23">
        <v>26.0</v>
      </c>
      <c r="L7" s="23">
        <f t="shared" si="2"/>
        <v>46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/>
      <c r="B8" s="22" t="s">
        <v>19</v>
      </c>
      <c r="C8" s="23">
        <v>-194.9</v>
      </c>
      <c r="D8" s="23">
        <v>62.0</v>
      </c>
      <c r="E8" s="23">
        <v>31.0</v>
      </c>
      <c r="F8" s="23">
        <f t="shared" si="1"/>
        <v>31</v>
      </c>
      <c r="G8" s="18"/>
      <c r="H8" s="22" t="s">
        <v>19</v>
      </c>
      <c r="I8" s="23">
        <v>138.79</v>
      </c>
      <c r="J8" s="23">
        <v>64.0</v>
      </c>
      <c r="K8" s="23">
        <v>35.0</v>
      </c>
      <c r="L8" s="23">
        <f t="shared" si="2"/>
        <v>29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4"/>
      <c r="B9" s="22" t="s">
        <v>20</v>
      </c>
      <c r="C9" s="23">
        <v>-806.21</v>
      </c>
      <c r="D9" s="23">
        <v>67.0</v>
      </c>
      <c r="E9" s="23">
        <v>24.0</v>
      </c>
      <c r="F9" s="23">
        <f t="shared" si="1"/>
        <v>43</v>
      </c>
      <c r="G9" s="18"/>
      <c r="H9" s="22" t="s">
        <v>20</v>
      </c>
      <c r="I9" s="23">
        <v>975.15</v>
      </c>
      <c r="J9" s="23">
        <v>71.0</v>
      </c>
      <c r="K9" s="23">
        <v>31.0</v>
      </c>
      <c r="L9" s="23">
        <f t="shared" si="2"/>
        <v>40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1"/>
      <c r="B10" s="22" t="s">
        <v>21</v>
      </c>
      <c r="C10" s="23">
        <v>747.65</v>
      </c>
      <c r="D10" s="23">
        <v>76.0</v>
      </c>
      <c r="E10" s="23">
        <v>32.0</v>
      </c>
      <c r="F10" s="23">
        <f t="shared" si="1"/>
        <v>44</v>
      </c>
      <c r="G10" s="18"/>
      <c r="H10" s="22" t="s">
        <v>21</v>
      </c>
      <c r="I10" s="23">
        <v>-2477.1</v>
      </c>
      <c r="J10" s="23">
        <v>82.0</v>
      </c>
      <c r="K10" s="23">
        <v>31.0</v>
      </c>
      <c r="L10" s="23">
        <f t="shared" si="2"/>
        <v>51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1"/>
      <c r="B11" s="22" t="s">
        <v>22</v>
      </c>
      <c r="C11" s="23">
        <v>1066.2</v>
      </c>
      <c r="D11" s="23">
        <v>85.0</v>
      </c>
      <c r="E11" s="23">
        <v>37.0</v>
      </c>
      <c r="F11" s="23">
        <f t="shared" si="1"/>
        <v>48</v>
      </c>
      <c r="G11" s="20"/>
      <c r="H11" s="22" t="s">
        <v>22</v>
      </c>
      <c r="I11" s="23">
        <v>-1574.55</v>
      </c>
      <c r="J11" s="23">
        <v>89.0</v>
      </c>
      <c r="K11" s="23">
        <v>34.0</v>
      </c>
      <c r="L11" s="23">
        <f t="shared" si="2"/>
        <v>55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4"/>
      <c r="B12" s="22" t="s">
        <v>23</v>
      </c>
      <c r="C12" s="23">
        <v>-50.25</v>
      </c>
      <c r="D12" s="23">
        <v>64.0</v>
      </c>
      <c r="E12" s="23">
        <v>34.0</v>
      </c>
      <c r="F12" s="23">
        <f t="shared" si="1"/>
        <v>30</v>
      </c>
      <c r="G12" s="18"/>
      <c r="H12" s="22" t="s">
        <v>23</v>
      </c>
      <c r="I12" s="23">
        <v>-614.45</v>
      </c>
      <c r="J12" s="23">
        <v>65.0</v>
      </c>
      <c r="K12" s="23">
        <v>29.0</v>
      </c>
      <c r="L12" s="23">
        <f t="shared" si="2"/>
        <v>36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1"/>
      <c r="B13" s="22" t="s">
        <v>24</v>
      </c>
      <c r="C13" s="23">
        <v>661.98</v>
      </c>
      <c r="D13" s="23">
        <v>78.0</v>
      </c>
      <c r="E13" s="23">
        <v>38.0</v>
      </c>
      <c r="F13" s="23">
        <f t="shared" si="1"/>
        <v>40</v>
      </c>
      <c r="G13" s="18"/>
      <c r="H13" s="22" t="s">
        <v>24</v>
      </c>
      <c r="I13" s="23">
        <v>-2095.86</v>
      </c>
      <c r="J13" s="23">
        <v>75.0</v>
      </c>
      <c r="K13" s="23">
        <v>29.0</v>
      </c>
      <c r="L13" s="23">
        <f t="shared" si="2"/>
        <v>46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4"/>
      <c r="B14" s="22" t="s">
        <v>25</v>
      </c>
      <c r="C14" s="23">
        <v>1767.47</v>
      </c>
      <c r="D14" s="23">
        <v>76.0</v>
      </c>
      <c r="E14" s="23">
        <v>39.0</v>
      </c>
      <c r="F14" s="23">
        <f t="shared" si="1"/>
        <v>37</v>
      </c>
      <c r="G14" s="18"/>
      <c r="H14" s="22" t="s">
        <v>25</v>
      </c>
      <c r="I14" s="23">
        <v>-305.67</v>
      </c>
      <c r="J14" s="23">
        <v>84.0</v>
      </c>
      <c r="K14" s="23">
        <v>36.0</v>
      </c>
      <c r="L14" s="23">
        <f t="shared" si="2"/>
        <v>48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1"/>
      <c r="B15" s="22" t="s">
        <v>26</v>
      </c>
      <c r="C15" s="23">
        <v>1023.12</v>
      </c>
      <c r="D15" s="23">
        <v>86.0</v>
      </c>
      <c r="E15" s="23">
        <v>39.0</v>
      </c>
      <c r="F15" s="23">
        <f t="shared" si="1"/>
        <v>47</v>
      </c>
      <c r="G15" s="18"/>
      <c r="H15" s="22" t="s">
        <v>26</v>
      </c>
      <c r="I15" s="23">
        <v>173.05</v>
      </c>
      <c r="J15" s="23">
        <v>98.0</v>
      </c>
      <c r="K15" s="23">
        <v>40.0</v>
      </c>
      <c r="L15" s="23">
        <f t="shared" si="2"/>
        <v>58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2" t="s">
        <v>27</v>
      </c>
      <c r="C16" s="23">
        <v>-126.55</v>
      </c>
      <c r="D16" s="23">
        <v>70.0</v>
      </c>
      <c r="E16" s="23">
        <v>34.0</v>
      </c>
      <c r="F16" s="23">
        <f t="shared" si="1"/>
        <v>36</v>
      </c>
      <c r="G16" s="18"/>
      <c r="H16" s="22" t="s">
        <v>27</v>
      </c>
      <c r="I16" s="23">
        <v>-147.52</v>
      </c>
      <c r="J16" s="23">
        <v>73.0</v>
      </c>
      <c r="K16" s="23">
        <v>28.0</v>
      </c>
      <c r="L16" s="23">
        <f t="shared" si="2"/>
        <v>45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3"/>
      <c r="B17" s="3"/>
      <c r="C17" s="3"/>
      <c r="D17" s="3">
        <f t="shared" ref="D17:F17" si="3">SUM(D6:D16)</f>
        <v>795</v>
      </c>
      <c r="E17" s="3">
        <f t="shared" si="3"/>
        <v>367</v>
      </c>
      <c r="F17" s="3">
        <f t="shared" si="3"/>
        <v>428</v>
      </c>
      <c r="G17" s="3"/>
      <c r="H17" s="3"/>
      <c r="I17" s="3"/>
      <c r="J17" s="3">
        <f t="shared" ref="J17:L17" si="4">SUM(J6:J16)</f>
        <v>842</v>
      </c>
      <c r="K17" s="3">
        <f t="shared" si="4"/>
        <v>351</v>
      </c>
      <c r="L17" s="3">
        <f t="shared" si="4"/>
        <v>491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/>
      <c r="B18" s="8" t="s">
        <v>28</v>
      </c>
      <c r="C18" s="18"/>
      <c r="D18" s="18"/>
      <c r="E18" s="18"/>
      <c r="F18" s="18"/>
      <c r="G18" s="18"/>
      <c r="H18" s="8" t="s">
        <v>28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3"/>
      <c r="B19" s="9" t="s">
        <v>12</v>
      </c>
      <c r="C19" s="10" t="s">
        <v>13</v>
      </c>
      <c r="D19" s="11" t="s">
        <v>14</v>
      </c>
      <c r="E19" s="11" t="s">
        <v>15</v>
      </c>
      <c r="F19" s="11" t="s">
        <v>16</v>
      </c>
      <c r="G19" s="3"/>
      <c r="H19" s="9" t="s">
        <v>12</v>
      </c>
      <c r="I19" s="10" t="s">
        <v>13</v>
      </c>
      <c r="J19" s="11" t="s">
        <v>14</v>
      </c>
      <c r="K19" s="11" t="s">
        <v>15</v>
      </c>
      <c r="L19" s="11" t="s">
        <v>16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8"/>
      <c r="B20" s="22" t="s">
        <v>17</v>
      </c>
      <c r="C20" s="23">
        <v>-1846.8</v>
      </c>
      <c r="D20" s="23">
        <v>64.0</v>
      </c>
      <c r="E20" s="23">
        <v>28.0</v>
      </c>
      <c r="F20" s="23">
        <f t="shared" ref="F20:F30" si="5">D20-E20</f>
        <v>36</v>
      </c>
      <c r="G20" s="18"/>
      <c r="H20" s="22" t="s">
        <v>17</v>
      </c>
      <c r="I20" s="23">
        <v>1051.84</v>
      </c>
      <c r="J20" s="23">
        <v>63.0</v>
      </c>
      <c r="K20" s="23">
        <v>36.0</v>
      </c>
      <c r="L20" s="23">
        <f t="shared" ref="L20:L30" si="6">J20-K20</f>
        <v>27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2" t="s">
        <v>18</v>
      </c>
      <c r="C21" s="23">
        <v>-331.05</v>
      </c>
      <c r="D21" s="23">
        <v>68.0</v>
      </c>
      <c r="E21" s="23">
        <v>33.0</v>
      </c>
      <c r="F21" s="23">
        <f t="shared" si="5"/>
        <v>35</v>
      </c>
      <c r="G21" s="18"/>
      <c r="H21" s="22" t="s">
        <v>18</v>
      </c>
      <c r="I21" s="23">
        <v>-1039.3</v>
      </c>
      <c r="J21" s="23">
        <v>70.0</v>
      </c>
      <c r="K21" s="23">
        <v>32.0</v>
      </c>
      <c r="L21" s="23">
        <f t="shared" si="6"/>
        <v>38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2" t="s">
        <v>19</v>
      </c>
      <c r="C22" s="23">
        <v>-2041.05</v>
      </c>
      <c r="D22" s="23">
        <v>67.0</v>
      </c>
      <c r="E22" s="23">
        <v>26.0</v>
      </c>
      <c r="F22" s="23">
        <f t="shared" si="5"/>
        <v>41</v>
      </c>
      <c r="G22" s="18"/>
      <c r="H22" s="22" t="s">
        <v>19</v>
      </c>
      <c r="I22" s="23">
        <v>1527.84</v>
      </c>
      <c r="J22" s="23">
        <v>63.0</v>
      </c>
      <c r="K22" s="23">
        <v>37.0</v>
      </c>
      <c r="L22" s="23">
        <f t="shared" si="6"/>
        <v>26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2" t="s">
        <v>20</v>
      </c>
      <c r="C23" s="23">
        <v>-1496.67</v>
      </c>
      <c r="D23" s="23">
        <v>69.0</v>
      </c>
      <c r="E23" s="23">
        <v>24.0</v>
      </c>
      <c r="F23" s="23">
        <f t="shared" si="5"/>
        <v>45</v>
      </c>
      <c r="G23" s="18"/>
      <c r="H23" s="22" t="s">
        <v>20</v>
      </c>
      <c r="I23" s="23">
        <v>1308.95</v>
      </c>
      <c r="J23" s="23">
        <v>71.0</v>
      </c>
      <c r="K23" s="23">
        <v>37.0</v>
      </c>
      <c r="L23" s="23">
        <f t="shared" si="6"/>
        <v>34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2" t="s">
        <v>21</v>
      </c>
      <c r="C24" s="23">
        <v>-289.6</v>
      </c>
      <c r="D24" s="23">
        <v>71.0</v>
      </c>
      <c r="E24" s="23">
        <v>28.0</v>
      </c>
      <c r="F24" s="23">
        <f t="shared" si="5"/>
        <v>43</v>
      </c>
      <c r="G24" s="18"/>
      <c r="H24" s="22" t="s">
        <v>21</v>
      </c>
      <c r="I24" s="23">
        <v>-635.55</v>
      </c>
      <c r="J24" s="23">
        <v>73.0</v>
      </c>
      <c r="K24" s="23">
        <v>30.0</v>
      </c>
      <c r="L24" s="23">
        <f t="shared" si="6"/>
        <v>43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2" t="s">
        <v>22</v>
      </c>
      <c r="C25" s="23">
        <v>-3929.85</v>
      </c>
      <c r="D25" s="23">
        <v>71.0</v>
      </c>
      <c r="E25" s="23">
        <v>24.0</v>
      </c>
      <c r="F25" s="23">
        <f t="shared" si="5"/>
        <v>47</v>
      </c>
      <c r="G25" s="18"/>
      <c r="H25" s="22" t="s">
        <v>22</v>
      </c>
      <c r="I25" s="23">
        <v>3045.39</v>
      </c>
      <c r="J25" s="23">
        <v>78.0</v>
      </c>
      <c r="K25" s="23">
        <v>39.0</v>
      </c>
      <c r="L25" s="23">
        <f t="shared" si="6"/>
        <v>39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2" t="s">
        <v>23</v>
      </c>
      <c r="C26" s="23">
        <v>-580.0</v>
      </c>
      <c r="D26" s="23">
        <v>64.0</v>
      </c>
      <c r="E26" s="23">
        <v>31.0</v>
      </c>
      <c r="F26" s="23">
        <f t="shared" si="5"/>
        <v>33</v>
      </c>
      <c r="G26" s="18"/>
      <c r="H26" s="22" t="s">
        <v>23</v>
      </c>
      <c r="I26" s="23">
        <v>1281.09</v>
      </c>
      <c r="J26" s="23">
        <v>63.0</v>
      </c>
      <c r="K26" s="23">
        <v>33.0</v>
      </c>
      <c r="L26" s="23">
        <f t="shared" si="6"/>
        <v>30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2" t="s">
        <v>24</v>
      </c>
      <c r="C27" s="23">
        <v>-3079.19</v>
      </c>
      <c r="D27" s="23">
        <v>77.0</v>
      </c>
      <c r="E27" s="23">
        <v>27.0</v>
      </c>
      <c r="F27" s="23">
        <f t="shared" si="5"/>
        <v>50</v>
      </c>
      <c r="G27" s="18"/>
      <c r="H27" s="22" t="s">
        <v>24</v>
      </c>
      <c r="I27" s="23">
        <v>2362.21</v>
      </c>
      <c r="J27" s="23">
        <v>74.0</v>
      </c>
      <c r="K27" s="23">
        <v>41.0</v>
      </c>
      <c r="L27" s="23">
        <f t="shared" si="6"/>
        <v>33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2" t="s">
        <v>25</v>
      </c>
      <c r="C28" s="23">
        <v>-2184.34</v>
      </c>
      <c r="D28" s="23">
        <v>73.0</v>
      </c>
      <c r="E28" s="23">
        <v>28.0</v>
      </c>
      <c r="F28" s="23">
        <f t="shared" si="5"/>
        <v>45</v>
      </c>
      <c r="G28" s="18"/>
      <c r="H28" s="22" t="s">
        <v>25</v>
      </c>
      <c r="I28" s="23">
        <v>-52.1</v>
      </c>
      <c r="J28" s="23">
        <v>80.0</v>
      </c>
      <c r="K28" s="23">
        <v>37.0</v>
      </c>
      <c r="L28" s="23">
        <f t="shared" si="6"/>
        <v>43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2" t="s">
        <v>26</v>
      </c>
      <c r="C29" s="23">
        <v>-5101.72</v>
      </c>
      <c r="D29" s="23">
        <v>82.0</v>
      </c>
      <c r="E29" s="23">
        <v>25.0</v>
      </c>
      <c r="F29" s="23">
        <f t="shared" si="5"/>
        <v>57</v>
      </c>
      <c r="G29" s="18"/>
      <c r="H29" s="22" t="s">
        <v>26</v>
      </c>
      <c r="I29" s="23">
        <v>5025.57</v>
      </c>
      <c r="J29" s="23">
        <v>73.0</v>
      </c>
      <c r="K29" s="23">
        <v>42.0</v>
      </c>
      <c r="L29" s="23">
        <f t="shared" si="6"/>
        <v>31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2" t="s">
        <v>27</v>
      </c>
      <c r="C30" s="23">
        <v>-2652.81</v>
      </c>
      <c r="D30" s="23">
        <v>68.0</v>
      </c>
      <c r="E30" s="23">
        <v>24.0</v>
      </c>
      <c r="F30" s="23">
        <f t="shared" si="5"/>
        <v>44</v>
      </c>
      <c r="G30" s="18"/>
      <c r="H30" s="22" t="s">
        <v>27</v>
      </c>
      <c r="I30" s="23">
        <v>2761.73</v>
      </c>
      <c r="J30" s="23">
        <v>69.0</v>
      </c>
      <c r="K30" s="23">
        <v>43.0</v>
      </c>
      <c r="L30" s="23">
        <f t="shared" si="6"/>
        <v>26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3"/>
      <c r="B31" s="3"/>
      <c r="C31" s="3"/>
      <c r="D31" s="3">
        <f t="shared" ref="D31:F31" si="7">SUM(D20:D30)</f>
        <v>774</v>
      </c>
      <c r="E31" s="3">
        <f t="shared" si="7"/>
        <v>298</v>
      </c>
      <c r="F31" s="3">
        <f t="shared" si="7"/>
        <v>476</v>
      </c>
      <c r="G31" s="3"/>
      <c r="H31" s="3"/>
      <c r="I31" s="3"/>
      <c r="J31" s="3">
        <f t="shared" ref="J31:L31" si="8">SUM(J20:J30)</f>
        <v>777</v>
      </c>
      <c r="K31" s="3">
        <f t="shared" si="8"/>
        <v>407</v>
      </c>
      <c r="L31" s="3">
        <f t="shared" si="8"/>
        <v>370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8"/>
      <c r="B32" s="8" t="s">
        <v>29</v>
      </c>
      <c r="C32" s="18"/>
      <c r="D32" s="18"/>
      <c r="E32" s="18"/>
      <c r="F32" s="18"/>
      <c r="G32" s="18"/>
      <c r="H32" s="8" t="s">
        <v>29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3"/>
      <c r="B33" s="9" t="s">
        <v>12</v>
      </c>
      <c r="C33" s="10" t="s">
        <v>13</v>
      </c>
      <c r="D33" s="11" t="s">
        <v>14</v>
      </c>
      <c r="E33" s="11" t="s">
        <v>15</v>
      </c>
      <c r="F33" s="11" t="s">
        <v>16</v>
      </c>
      <c r="G33" s="3"/>
      <c r="H33" s="9" t="s">
        <v>12</v>
      </c>
      <c r="I33" s="10" t="s">
        <v>13</v>
      </c>
      <c r="J33" s="11" t="s">
        <v>14</v>
      </c>
      <c r="K33" s="11" t="s">
        <v>15</v>
      </c>
      <c r="L33" s="11" t="s">
        <v>16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8"/>
      <c r="B34" s="22" t="s">
        <v>17</v>
      </c>
      <c r="C34" s="23">
        <v>1608.95</v>
      </c>
      <c r="D34" s="23">
        <v>62.0</v>
      </c>
      <c r="E34" s="23">
        <v>32.0</v>
      </c>
      <c r="F34" s="23">
        <f t="shared" ref="F34:F44" si="9">D34-E34</f>
        <v>30</v>
      </c>
      <c r="G34" s="18"/>
      <c r="H34" s="22" t="s">
        <v>17</v>
      </c>
      <c r="I34" s="23">
        <v>-1216.45</v>
      </c>
      <c r="J34" s="23">
        <v>66.0</v>
      </c>
      <c r="K34" s="23">
        <v>29.0</v>
      </c>
      <c r="L34" s="23">
        <f t="shared" ref="L34:L44" si="10">J34-K34</f>
        <v>37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2" t="s">
        <v>18</v>
      </c>
      <c r="C35" s="23">
        <v>-361.64</v>
      </c>
      <c r="D35" s="23">
        <v>64.0</v>
      </c>
      <c r="E35" s="23">
        <v>29.0</v>
      </c>
      <c r="F35" s="23">
        <f t="shared" si="9"/>
        <v>35</v>
      </c>
      <c r="G35" s="18"/>
      <c r="H35" s="22" t="s">
        <v>18</v>
      </c>
      <c r="I35" s="23">
        <v>-251.3</v>
      </c>
      <c r="J35" s="23">
        <v>64.0</v>
      </c>
      <c r="K35" s="23">
        <v>31.0</v>
      </c>
      <c r="L35" s="23">
        <f t="shared" si="10"/>
        <v>33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2" t="s">
        <v>19</v>
      </c>
      <c r="C36" s="23">
        <v>1737.5</v>
      </c>
      <c r="D36" s="23">
        <v>64.0</v>
      </c>
      <c r="E36" s="23">
        <v>35.0</v>
      </c>
      <c r="F36" s="23">
        <f t="shared" si="9"/>
        <v>29</v>
      </c>
      <c r="G36" s="18"/>
      <c r="H36" s="22" t="s">
        <v>19</v>
      </c>
      <c r="I36" s="23">
        <v>-511.59</v>
      </c>
      <c r="J36" s="23">
        <v>70.0</v>
      </c>
      <c r="K36" s="23">
        <v>33.0</v>
      </c>
      <c r="L36" s="23">
        <f t="shared" si="10"/>
        <v>37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2" t="s">
        <v>20</v>
      </c>
      <c r="C37" s="23">
        <v>-2227.84</v>
      </c>
      <c r="D37" s="23">
        <v>62.0</v>
      </c>
      <c r="E37" s="23">
        <v>23.0</v>
      </c>
      <c r="F37" s="23">
        <f t="shared" si="9"/>
        <v>39</v>
      </c>
      <c r="G37" s="18"/>
      <c r="H37" s="22" t="s">
        <v>20</v>
      </c>
      <c r="I37" s="23">
        <v>879.58</v>
      </c>
      <c r="J37" s="23">
        <v>63.0</v>
      </c>
      <c r="K37" s="23">
        <v>34.0</v>
      </c>
      <c r="L37" s="23">
        <f t="shared" si="10"/>
        <v>29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2" t="s">
        <v>21</v>
      </c>
      <c r="C38" s="23">
        <v>3060.35</v>
      </c>
      <c r="D38" s="23">
        <v>73.0</v>
      </c>
      <c r="E38" s="23">
        <v>38.0</v>
      </c>
      <c r="F38" s="23">
        <f t="shared" si="9"/>
        <v>35</v>
      </c>
      <c r="G38" s="18"/>
      <c r="H38" s="22" t="s">
        <v>21</v>
      </c>
      <c r="I38" s="23">
        <v>-2182.45</v>
      </c>
      <c r="J38" s="23">
        <v>73.0</v>
      </c>
      <c r="K38" s="23">
        <v>29.0</v>
      </c>
      <c r="L38" s="23">
        <f t="shared" si="10"/>
        <v>44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2" t="s">
        <v>22</v>
      </c>
      <c r="C39" s="23">
        <v>1904.3</v>
      </c>
      <c r="D39" s="23">
        <v>79.0</v>
      </c>
      <c r="E39" s="23">
        <v>37.0</v>
      </c>
      <c r="F39" s="23">
        <f t="shared" si="9"/>
        <v>42</v>
      </c>
      <c r="G39" s="18"/>
      <c r="H39" s="22" t="s">
        <v>22</v>
      </c>
      <c r="I39" s="23">
        <v>-843.15</v>
      </c>
      <c r="J39" s="23">
        <v>76.0</v>
      </c>
      <c r="K39" s="23">
        <v>33.0</v>
      </c>
      <c r="L39" s="23">
        <f t="shared" si="10"/>
        <v>43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2" t="s">
        <v>23</v>
      </c>
      <c r="C40" s="23">
        <v>-181.14</v>
      </c>
      <c r="D40" s="26">
        <v>61.0</v>
      </c>
      <c r="E40" s="23">
        <v>31.0</v>
      </c>
      <c r="F40" s="23">
        <f t="shared" si="9"/>
        <v>30</v>
      </c>
      <c r="G40" s="18"/>
      <c r="H40" s="22" t="s">
        <v>23</v>
      </c>
      <c r="I40" s="23">
        <v>208.84</v>
      </c>
      <c r="J40" s="23">
        <v>61.0</v>
      </c>
      <c r="K40" s="23">
        <v>34.0</v>
      </c>
      <c r="L40" s="23">
        <f t="shared" si="10"/>
        <v>27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2" t="s">
        <v>24</v>
      </c>
      <c r="C41" s="23">
        <v>1900.18</v>
      </c>
      <c r="D41" s="23">
        <v>70.0</v>
      </c>
      <c r="E41" s="23">
        <v>37.0</v>
      </c>
      <c r="F41" s="23">
        <f t="shared" si="9"/>
        <v>33</v>
      </c>
      <c r="G41" s="18"/>
      <c r="H41" s="22" t="s">
        <v>24</v>
      </c>
      <c r="I41" s="23">
        <v>-1449.46</v>
      </c>
      <c r="J41" s="23">
        <v>81.0</v>
      </c>
      <c r="K41" s="23">
        <v>33.0</v>
      </c>
      <c r="L41" s="23">
        <f t="shared" si="10"/>
        <v>48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2" t="s">
        <v>25</v>
      </c>
      <c r="C42" s="23">
        <v>-2184.33</v>
      </c>
      <c r="D42" s="23">
        <v>73.0</v>
      </c>
      <c r="E42" s="23">
        <v>28.0</v>
      </c>
      <c r="F42" s="23">
        <f t="shared" si="9"/>
        <v>45</v>
      </c>
      <c r="G42" s="18"/>
      <c r="H42" s="22" t="s">
        <v>25</v>
      </c>
      <c r="I42" s="23">
        <v>-229.9</v>
      </c>
      <c r="J42" s="23">
        <v>74.0</v>
      </c>
      <c r="K42" s="23">
        <v>30.0</v>
      </c>
      <c r="L42" s="23">
        <f t="shared" si="10"/>
        <v>44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2" t="s">
        <v>26</v>
      </c>
      <c r="C43" s="23">
        <v>-5101.71</v>
      </c>
      <c r="D43" s="23">
        <v>82.0</v>
      </c>
      <c r="E43" s="23">
        <v>25.0</v>
      </c>
      <c r="F43" s="23">
        <f t="shared" si="9"/>
        <v>57</v>
      </c>
      <c r="G43" s="18"/>
      <c r="H43" s="22" t="s">
        <v>26</v>
      </c>
      <c r="I43" s="23">
        <v>452.5</v>
      </c>
      <c r="J43" s="23">
        <v>87.0</v>
      </c>
      <c r="K43" s="23">
        <v>39.0</v>
      </c>
      <c r="L43" s="23">
        <f t="shared" si="10"/>
        <v>48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2" t="s">
        <v>27</v>
      </c>
      <c r="C44" s="23">
        <v>-2652.8</v>
      </c>
      <c r="D44" s="23">
        <v>68.0</v>
      </c>
      <c r="E44" s="23">
        <v>24.0</v>
      </c>
      <c r="F44" s="23">
        <f t="shared" si="9"/>
        <v>44</v>
      </c>
      <c r="G44" s="18"/>
      <c r="H44" s="22" t="s">
        <v>27</v>
      </c>
      <c r="I44" s="23">
        <v>-3128.26</v>
      </c>
      <c r="J44" s="23">
        <v>75.0</v>
      </c>
      <c r="K44" s="23">
        <v>28.0</v>
      </c>
      <c r="L44" s="23">
        <f t="shared" si="10"/>
        <v>47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3"/>
      <c r="B45" s="3"/>
      <c r="C45" s="3"/>
      <c r="D45" s="3">
        <f t="shared" ref="D45:F45" si="11">SUM(D34:D44)</f>
        <v>758</v>
      </c>
      <c r="E45" s="3">
        <f t="shared" si="11"/>
        <v>339</v>
      </c>
      <c r="F45" s="3">
        <f t="shared" si="11"/>
        <v>419</v>
      </c>
      <c r="G45" s="3"/>
      <c r="H45" s="3"/>
      <c r="I45" s="3"/>
      <c r="J45" s="3">
        <f t="shared" ref="J45:L45" si="12">SUM(J34:J44)</f>
        <v>790</v>
      </c>
      <c r="K45" s="3">
        <f t="shared" si="12"/>
        <v>353</v>
      </c>
      <c r="L45" s="3">
        <f t="shared" si="12"/>
        <v>437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/>
      <c r="B46" s="8" t="s">
        <v>30</v>
      </c>
      <c r="C46" s="18"/>
      <c r="D46" s="18"/>
      <c r="E46" s="18"/>
      <c r="F46" s="18"/>
      <c r="G46" s="18"/>
      <c r="H46" s="8" t="s">
        <v>30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3"/>
      <c r="B47" s="9" t="s">
        <v>12</v>
      </c>
      <c r="C47" s="10" t="s">
        <v>13</v>
      </c>
      <c r="D47" s="11" t="s">
        <v>14</v>
      </c>
      <c r="E47" s="11" t="s">
        <v>15</v>
      </c>
      <c r="F47" s="11" t="s">
        <v>16</v>
      </c>
      <c r="G47" s="3"/>
      <c r="H47" s="9" t="s">
        <v>12</v>
      </c>
      <c r="I47" s="10" t="s">
        <v>13</v>
      </c>
      <c r="J47" s="11" t="s">
        <v>14</v>
      </c>
      <c r="K47" s="11" t="s">
        <v>15</v>
      </c>
      <c r="L47" s="11" t="s">
        <v>16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8"/>
      <c r="B48" s="22" t="s">
        <v>17</v>
      </c>
      <c r="C48" s="23">
        <v>-2004.14</v>
      </c>
      <c r="D48" s="23">
        <v>70.0</v>
      </c>
      <c r="E48" s="23">
        <v>24.0</v>
      </c>
      <c r="F48" s="23">
        <f t="shared" ref="F48:F58" si="13">D48-E48</f>
        <v>46</v>
      </c>
      <c r="G48" s="18"/>
      <c r="H48" s="22" t="s">
        <v>17</v>
      </c>
      <c r="I48" s="23">
        <v>1899.34</v>
      </c>
      <c r="J48" s="23">
        <v>64.0</v>
      </c>
      <c r="K48" s="23">
        <v>37.0</v>
      </c>
      <c r="L48" s="23">
        <f t="shared" ref="L48:L58" si="14">J48-K48</f>
        <v>27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2" t="s">
        <v>18</v>
      </c>
      <c r="C49" s="23">
        <v>-1999.24</v>
      </c>
      <c r="D49" s="23">
        <v>64.0</v>
      </c>
      <c r="E49" s="23">
        <v>25.0</v>
      </c>
      <c r="F49" s="23">
        <f t="shared" si="13"/>
        <v>39</v>
      </c>
      <c r="G49" s="18"/>
      <c r="H49" s="22" t="s">
        <v>18</v>
      </c>
      <c r="I49" s="23">
        <v>1817.29</v>
      </c>
      <c r="J49" s="23">
        <v>62.0</v>
      </c>
      <c r="K49" s="23">
        <v>32.0</v>
      </c>
      <c r="L49" s="23">
        <f t="shared" si="14"/>
        <v>30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2" t="s">
        <v>19</v>
      </c>
      <c r="C50" s="23">
        <v>-1438.84</v>
      </c>
      <c r="D50" s="23">
        <v>71.0</v>
      </c>
      <c r="E50" s="23">
        <v>30.0</v>
      </c>
      <c r="F50" s="23">
        <f t="shared" si="13"/>
        <v>41</v>
      </c>
      <c r="G50" s="18"/>
      <c r="H50" s="22" t="s">
        <v>19</v>
      </c>
      <c r="I50" s="23">
        <v>1384.09</v>
      </c>
      <c r="J50" s="23">
        <v>72.0</v>
      </c>
      <c r="K50" s="23">
        <v>33.0</v>
      </c>
      <c r="L50" s="23">
        <f t="shared" si="14"/>
        <v>39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2" t="s">
        <v>20</v>
      </c>
      <c r="C51" s="23">
        <v>-117.31</v>
      </c>
      <c r="D51" s="23">
        <v>71.0</v>
      </c>
      <c r="E51" s="23">
        <v>33.0</v>
      </c>
      <c r="F51" s="23">
        <f t="shared" si="13"/>
        <v>38</v>
      </c>
      <c r="G51" s="18"/>
      <c r="H51" s="22" t="s">
        <v>20</v>
      </c>
      <c r="I51" s="23">
        <v>1216.78</v>
      </c>
      <c r="J51" s="23">
        <v>73.0</v>
      </c>
      <c r="K51" s="23">
        <v>34.0</v>
      </c>
      <c r="L51" s="23">
        <f t="shared" si="14"/>
        <v>39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2" t="s">
        <v>21</v>
      </c>
      <c r="C52" s="23">
        <v>-2080.44</v>
      </c>
      <c r="D52" s="23">
        <v>70.0</v>
      </c>
      <c r="E52" s="23">
        <v>24.0</v>
      </c>
      <c r="F52" s="23">
        <f t="shared" si="13"/>
        <v>46</v>
      </c>
      <c r="G52" s="18"/>
      <c r="H52" s="22" t="s">
        <v>21</v>
      </c>
      <c r="I52" s="23">
        <v>1013.24</v>
      </c>
      <c r="J52" s="23">
        <v>74.0</v>
      </c>
      <c r="K52" s="23">
        <v>32.0</v>
      </c>
      <c r="L52" s="23">
        <f t="shared" si="14"/>
        <v>42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2" t="s">
        <v>22</v>
      </c>
      <c r="C53" s="23">
        <v>412.05</v>
      </c>
      <c r="D53" s="23">
        <v>85.0</v>
      </c>
      <c r="E53" s="23">
        <v>38.0</v>
      </c>
      <c r="F53" s="23">
        <f t="shared" si="13"/>
        <v>47</v>
      </c>
      <c r="G53" s="18"/>
      <c r="H53" s="22" t="s">
        <v>22</v>
      </c>
      <c r="I53" s="23">
        <v>-358.6</v>
      </c>
      <c r="J53" s="23">
        <v>86.0</v>
      </c>
      <c r="K53" s="23">
        <v>34.0</v>
      </c>
      <c r="L53" s="23">
        <f t="shared" si="14"/>
        <v>52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2" t="s">
        <v>23</v>
      </c>
      <c r="C54" s="23">
        <v>-898.64</v>
      </c>
      <c r="D54" s="23">
        <v>65.0</v>
      </c>
      <c r="E54" s="23">
        <v>27.0</v>
      </c>
      <c r="F54" s="23">
        <f t="shared" si="13"/>
        <v>38</v>
      </c>
      <c r="G54" s="18"/>
      <c r="H54" s="22" t="s">
        <v>23</v>
      </c>
      <c r="I54" s="23">
        <v>965.39</v>
      </c>
      <c r="J54" s="23">
        <v>64.0</v>
      </c>
      <c r="K54" s="23">
        <v>31.0</v>
      </c>
      <c r="L54" s="23">
        <f t="shared" si="14"/>
        <v>33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2" t="s">
        <v>24</v>
      </c>
      <c r="C55" s="23">
        <v>103.58</v>
      </c>
      <c r="D55" s="23">
        <v>80.0</v>
      </c>
      <c r="E55" s="23">
        <v>32.0</v>
      </c>
      <c r="F55" s="23">
        <f t="shared" si="13"/>
        <v>48</v>
      </c>
      <c r="G55" s="18"/>
      <c r="H55" s="22" t="s">
        <v>24</v>
      </c>
      <c r="I55" s="23">
        <v>1907.45</v>
      </c>
      <c r="J55" s="23">
        <v>77.0</v>
      </c>
      <c r="K55" s="23">
        <v>32.0</v>
      </c>
      <c r="L55" s="23">
        <f t="shared" si="14"/>
        <v>45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2" t="s">
        <v>25</v>
      </c>
      <c r="C56" s="23">
        <v>-2199.69</v>
      </c>
      <c r="D56" s="23">
        <v>80.0</v>
      </c>
      <c r="E56" s="23">
        <v>31.0</v>
      </c>
      <c r="F56" s="23">
        <f t="shared" si="13"/>
        <v>49</v>
      </c>
      <c r="G56" s="18"/>
      <c r="H56" s="22" t="s">
        <v>25</v>
      </c>
      <c r="I56" s="23">
        <v>1446.54</v>
      </c>
      <c r="J56" s="23">
        <v>81.0</v>
      </c>
      <c r="K56" s="23">
        <v>39.0</v>
      </c>
      <c r="L56" s="23">
        <f t="shared" si="14"/>
        <v>42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2" t="s">
        <v>26</v>
      </c>
      <c r="C57" s="23">
        <v>418.33</v>
      </c>
      <c r="D57" s="23">
        <v>89.0</v>
      </c>
      <c r="E57" s="23">
        <v>36.0</v>
      </c>
      <c r="F57" s="23">
        <f t="shared" si="13"/>
        <v>53</v>
      </c>
      <c r="G57" s="18"/>
      <c r="H57" s="22" t="s">
        <v>26</v>
      </c>
      <c r="I57" s="23">
        <v>-1524.84</v>
      </c>
      <c r="J57" s="23">
        <v>84.0</v>
      </c>
      <c r="K57" s="23">
        <v>29.0</v>
      </c>
      <c r="L57" s="23">
        <f t="shared" si="14"/>
        <v>55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2" t="s">
        <v>27</v>
      </c>
      <c r="C58" s="23">
        <v>-1649.14</v>
      </c>
      <c r="D58" s="23">
        <v>72.0</v>
      </c>
      <c r="E58" s="23">
        <v>29.0</v>
      </c>
      <c r="F58" s="23">
        <f t="shared" si="13"/>
        <v>43</v>
      </c>
      <c r="G58" s="18"/>
      <c r="H58" s="22" t="s">
        <v>27</v>
      </c>
      <c r="I58" s="23">
        <v>1589.64</v>
      </c>
      <c r="J58" s="23">
        <v>71.0</v>
      </c>
      <c r="K58" s="23">
        <v>33.0</v>
      </c>
      <c r="L58" s="23">
        <f t="shared" si="14"/>
        <v>38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3"/>
      <c r="B59" s="3"/>
      <c r="C59" s="3"/>
      <c r="D59" s="3">
        <f t="shared" ref="D59:F59" si="15">SUM(D48:D58)</f>
        <v>817</v>
      </c>
      <c r="E59" s="3">
        <f t="shared" si="15"/>
        <v>329</v>
      </c>
      <c r="F59" s="3">
        <f t="shared" si="15"/>
        <v>488</v>
      </c>
      <c r="G59" s="3"/>
      <c r="H59" s="3"/>
      <c r="I59" s="3"/>
      <c r="J59" s="3">
        <f t="shared" ref="J59:L59" si="16">SUM(J48:J58)</f>
        <v>808</v>
      </c>
      <c r="K59" s="3">
        <f t="shared" si="16"/>
        <v>366</v>
      </c>
      <c r="L59" s="3">
        <f t="shared" si="16"/>
        <v>442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3"/>
      <c r="B60" s="3"/>
      <c r="C60" s="15" t="s">
        <v>31</v>
      </c>
      <c r="D60" s="3">
        <f t="shared" ref="D60:F60" si="17">D59+D45+D31+D17</f>
        <v>3144</v>
      </c>
      <c r="E60" s="3">
        <f t="shared" si="17"/>
        <v>1333</v>
      </c>
      <c r="F60" s="3">
        <f t="shared" si="17"/>
        <v>1811</v>
      </c>
      <c r="G60" s="3"/>
      <c r="H60" s="3"/>
      <c r="I60" s="15" t="s">
        <v>32</v>
      </c>
      <c r="J60" s="3">
        <f t="shared" ref="J60:L60" si="18">J59+J45+J31+J17</f>
        <v>3217</v>
      </c>
      <c r="K60" s="3">
        <f t="shared" si="18"/>
        <v>1477</v>
      </c>
      <c r="L60" s="3">
        <f t="shared" si="18"/>
        <v>1740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3"/>
      <c r="B61" s="3"/>
      <c r="C61" s="15" t="s">
        <v>33</v>
      </c>
      <c r="D61" s="3">
        <f t="shared" ref="D61:F61" si="19">D60+J60</f>
        <v>6361</v>
      </c>
      <c r="E61" s="3">
        <f t="shared" si="19"/>
        <v>2810</v>
      </c>
      <c r="F61" s="3">
        <f t="shared" si="19"/>
        <v>3551</v>
      </c>
      <c r="G61" s="3"/>
      <c r="H61" s="3"/>
      <c r="I61" s="3"/>
      <c r="J61" s="3"/>
      <c r="K61" s="3"/>
      <c r="L61" s="3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3"/>
      <c r="B62" s="3"/>
      <c r="C62" s="15" t="s">
        <v>34</v>
      </c>
      <c r="D62" s="16">
        <f>E61/D61</f>
        <v>0.4417544411</v>
      </c>
      <c r="E62" s="3"/>
      <c r="F62" s="3"/>
      <c r="G62" s="3"/>
      <c r="H62" s="3"/>
      <c r="I62" s="3"/>
      <c r="J62" s="3"/>
      <c r="K62" s="3"/>
      <c r="L62" s="3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3"/>
      <c r="B63" s="3"/>
      <c r="C63" s="15" t="s">
        <v>35</v>
      </c>
      <c r="D63" s="17">
        <f>1-D62</f>
        <v>0.5582455589</v>
      </c>
      <c r="E63" s="3"/>
      <c r="F63" s="3"/>
      <c r="G63" s="3"/>
      <c r="H63" s="3"/>
      <c r="I63" s="3"/>
      <c r="J63" s="3"/>
      <c r="K63" s="3"/>
      <c r="L63" s="3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B1:L1"/>
    <mergeCell ref="B3:F3"/>
    <mergeCell ref="H3:L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  <col customWidth="1" min="5" max="5" width="14.13"/>
    <col customWidth="1" min="6" max="6" width="13.5"/>
    <col customWidth="1" min="10" max="10" width="17.75"/>
    <col customWidth="1" min="11" max="11" width="13.38"/>
    <col customWidth="1" min="12" max="12" width="13.63"/>
  </cols>
  <sheetData>
    <row r="1">
      <c r="A1" s="18"/>
      <c r="B1" s="19" t="s">
        <v>8</v>
      </c>
      <c r="C1" s="5"/>
      <c r="D1" s="5"/>
      <c r="E1" s="5"/>
      <c r="F1" s="5"/>
      <c r="G1" s="5"/>
      <c r="H1" s="5"/>
      <c r="I1" s="5"/>
      <c r="J1" s="5"/>
      <c r="K1" s="5"/>
      <c r="L1" s="6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7" t="s">
        <v>9</v>
      </c>
      <c r="C3" s="5"/>
      <c r="D3" s="5"/>
      <c r="E3" s="5"/>
      <c r="F3" s="6"/>
      <c r="G3" s="18"/>
      <c r="H3" s="7" t="s">
        <v>10</v>
      </c>
      <c r="I3" s="5"/>
      <c r="J3" s="5"/>
      <c r="K3" s="5"/>
      <c r="L3" s="6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8" t="s">
        <v>11</v>
      </c>
      <c r="C4" s="20"/>
      <c r="D4" s="20"/>
      <c r="E4" s="20"/>
      <c r="F4" s="20"/>
      <c r="G4" s="18"/>
      <c r="H4" s="8" t="s">
        <v>11</v>
      </c>
      <c r="I4" s="20"/>
      <c r="J4" s="20"/>
      <c r="K4" s="20"/>
      <c r="L4" s="20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7"/>
      <c r="B5" s="28" t="s">
        <v>36</v>
      </c>
      <c r="C5" s="28" t="s">
        <v>37</v>
      </c>
      <c r="D5" s="28" t="s">
        <v>38</v>
      </c>
      <c r="E5" s="28" t="s">
        <v>39</v>
      </c>
      <c r="F5" s="28" t="s">
        <v>40</v>
      </c>
      <c r="G5" s="3"/>
      <c r="H5" s="28" t="s">
        <v>36</v>
      </c>
      <c r="I5" s="28" t="s">
        <v>37</v>
      </c>
      <c r="J5" s="28" t="s">
        <v>38</v>
      </c>
      <c r="K5" s="28" t="s">
        <v>39</v>
      </c>
      <c r="L5" s="28" t="s">
        <v>40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1"/>
      <c r="B6" s="29" t="s">
        <v>41</v>
      </c>
      <c r="C6" s="30">
        <v>1951.1</v>
      </c>
      <c r="D6" s="23">
        <v>21.0</v>
      </c>
      <c r="E6" s="23">
        <v>17.0</v>
      </c>
      <c r="F6" s="23">
        <f t="shared" ref="F6:F16" si="1">D6+E6</f>
        <v>38</v>
      </c>
      <c r="G6" s="18"/>
      <c r="H6" s="29" t="s">
        <v>41</v>
      </c>
      <c r="I6" s="25">
        <v>-1838.3</v>
      </c>
      <c r="J6" s="23">
        <v>35.0</v>
      </c>
      <c r="K6" s="23">
        <v>13.0</v>
      </c>
      <c r="L6" s="23">
        <f t="shared" ref="L6:L16" si="2">J6-K6</f>
        <v>22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4"/>
      <c r="B7" s="29" t="s">
        <v>42</v>
      </c>
      <c r="C7" s="23">
        <v>34.8</v>
      </c>
      <c r="D7" s="23">
        <v>19.0</v>
      </c>
      <c r="E7" s="23">
        <v>23.0</v>
      </c>
      <c r="F7" s="23">
        <f t="shared" si="1"/>
        <v>42</v>
      </c>
      <c r="G7" s="18"/>
      <c r="H7" s="29" t="s">
        <v>42</v>
      </c>
      <c r="I7" s="25">
        <v>1169.89</v>
      </c>
      <c r="J7" s="23">
        <v>41.0</v>
      </c>
      <c r="K7" s="23">
        <v>22.0</v>
      </c>
      <c r="L7" s="23">
        <f t="shared" si="2"/>
        <v>19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/>
      <c r="B8" s="29" t="s">
        <v>25</v>
      </c>
      <c r="C8" s="30">
        <v>1029.84</v>
      </c>
      <c r="D8" s="23">
        <v>17.0</v>
      </c>
      <c r="E8" s="23">
        <v>23.0</v>
      </c>
      <c r="F8" s="23">
        <f t="shared" si="1"/>
        <v>40</v>
      </c>
      <c r="G8" s="18"/>
      <c r="H8" s="29" t="s">
        <v>25</v>
      </c>
      <c r="I8" s="25">
        <v>828.72</v>
      </c>
      <c r="J8" s="23">
        <v>40.0</v>
      </c>
      <c r="K8" s="23">
        <v>18.0</v>
      </c>
      <c r="L8" s="23">
        <f t="shared" si="2"/>
        <v>22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4"/>
      <c r="B9" s="29" t="s">
        <v>43</v>
      </c>
      <c r="C9" s="30">
        <v>1296.91</v>
      </c>
      <c r="D9" s="23">
        <v>24.0</v>
      </c>
      <c r="E9" s="23">
        <v>16.0</v>
      </c>
      <c r="F9" s="23">
        <f t="shared" si="1"/>
        <v>40</v>
      </c>
      <c r="G9" s="18"/>
      <c r="H9" s="29" t="s">
        <v>43</v>
      </c>
      <c r="I9" s="25">
        <v>250.24</v>
      </c>
      <c r="J9" s="23">
        <v>39.0</v>
      </c>
      <c r="K9" s="23">
        <v>16.0</v>
      </c>
      <c r="L9" s="23">
        <f t="shared" si="2"/>
        <v>23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1"/>
      <c r="B10" s="29" t="s">
        <v>44</v>
      </c>
      <c r="C10" s="23">
        <v>908.0</v>
      </c>
      <c r="D10" s="23">
        <v>22.0</v>
      </c>
      <c r="E10" s="23">
        <v>18.0</v>
      </c>
      <c r="F10" s="23">
        <f t="shared" si="1"/>
        <v>40</v>
      </c>
      <c r="G10" s="18"/>
      <c r="H10" s="29" t="s">
        <v>44</v>
      </c>
      <c r="I10" s="25">
        <v>-377.95</v>
      </c>
      <c r="J10" s="23">
        <v>38.0</v>
      </c>
      <c r="K10" s="23">
        <v>16.0</v>
      </c>
      <c r="L10" s="23">
        <f t="shared" si="2"/>
        <v>22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1"/>
      <c r="B11" s="29" t="s">
        <v>45</v>
      </c>
      <c r="C11" s="23">
        <v>495.25</v>
      </c>
      <c r="D11" s="23">
        <v>23.0</v>
      </c>
      <c r="E11" s="23">
        <v>12.0</v>
      </c>
      <c r="F11" s="23">
        <f t="shared" si="1"/>
        <v>35</v>
      </c>
      <c r="G11" s="18"/>
      <c r="H11" s="29" t="s">
        <v>45</v>
      </c>
      <c r="I11" s="25">
        <v>-431.85</v>
      </c>
      <c r="J11" s="23">
        <v>40.0</v>
      </c>
      <c r="K11" s="23">
        <v>17.0</v>
      </c>
      <c r="L11" s="23">
        <f t="shared" si="2"/>
        <v>23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4"/>
      <c r="B12" s="29" t="s">
        <v>24</v>
      </c>
      <c r="C12" s="23">
        <v>532.7</v>
      </c>
      <c r="D12" s="23">
        <v>25.0</v>
      </c>
      <c r="E12" s="23">
        <v>19.0</v>
      </c>
      <c r="F12" s="23">
        <f t="shared" si="1"/>
        <v>44</v>
      </c>
      <c r="G12" s="18"/>
      <c r="H12" s="29" t="s">
        <v>24</v>
      </c>
      <c r="I12" s="31">
        <v>-358.47</v>
      </c>
      <c r="J12" s="23">
        <v>41.0</v>
      </c>
      <c r="K12" s="23">
        <v>19.0</v>
      </c>
      <c r="L12" s="23">
        <f t="shared" si="2"/>
        <v>22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1"/>
      <c r="B13" s="29" t="s">
        <v>22</v>
      </c>
      <c r="C13" s="23">
        <v>2644.9</v>
      </c>
      <c r="D13" s="23">
        <v>22.0</v>
      </c>
      <c r="E13" s="23">
        <v>19.0</v>
      </c>
      <c r="F13" s="23">
        <f t="shared" si="1"/>
        <v>41</v>
      </c>
      <c r="G13" s="18"/>
      <c r="H13" s="29" t="s">
        <v>22</v>
      </c>
      <c r="I13" s="31">
        <v>-1586.85</v>
      </c>
      <c r="J13" s="23">
        <v>44.0</v>
      </c>
      <c r="K13" s="23">
        <v>17.0</v>
      </c>
      <c r="L13" s="23">
        <f t="shared" si="2"/>
        <v>27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4"/>
      <c r="B14" s="29" t="s">
        <v>19</v>
      </c>
      <c r="C14" s="30">
        <v>841.94</v>
      </c>
      <c r="D14" s="23">
        <v>23.0</v>
      </c>
      <c r="E14" s="23">
        <v>15.0</v>
      </c>
      <c r="F14" s="23">
        <f t="shared" si="1"/>
        <v>38</v>
      </c>
      <c r="G14" s="18"/>
      <c r="H14" s="29" t="s">
        <v>19</v>
      </c>
      <c r="I14" s="25">
        <v>-235.9</v>
      </c>
      <c r="J14" s="23">
        <v>40.0</v>
      </c>
      <c r="K14" s="23">
        <v>19.0</v>
      </c>
      <c r="L14" s="23">
        <f t="shared" si="2"/>
        <v>21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1"/>
      <c r="B15" s="29" t="s">
        <v>26</v>
      </c>
      <c r="C15" s="23">
        <v>240.74</v>
      </c>
      <c r="D15" s="23">
        <v>17.0</v>
      </c>
      <c r="E15" s="23">
        <v>23.0</v>
      </c>
      <c r="F15" s="23">
        <f t="shared" si="1"/>
        <v>40</v>
      </c>
      <c r="G15" s="18"/>
      <c r="H15" s="29" t="s">
        <v>26</v>
      </c>
      <c r="I15" s="31">
        <v>-538.9</v>
      </c>
      <c r="J15" s="23">
        <v>42.0</v>
      </c>
      <c r="K15" s="23">
        <v>17.0</v>
      </c>
      <c r="L15" s="23">
        <f t="shared" si="2"/>
        <v>25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9" t="s">
        <v>46</v>
      </c>
      <c r="C16" s="23">
        <v>-59.42</v>
      </c>
      <c r="D16" s="23">
        <v>16.0</v>
      </c>
      <c r="E16" s="23">
        <v>22.0</v>
      </c>
      <c r="F16" s="23">
        <f t="shared" si="1"/>
        <v>38</v>
      </c>
      <c r="G16" s="18"/>
      <c r="H16" s="29" t="s">
        <v>46</v>
      </c>
      <c r="I16" s="25">
        <v>2273.37</v>
      </c>
      <c r="J16" s="23">
        <v>35.0</v>
      </c>
      <c r="K16" s="23">
        <v>27.0</v>
      </c>
      <c r="L16" s="23">
        <f t="shared" si="2"/>
        <v>8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3"/>
      <c r="B17" s="3"/>
      <c r="C17" s="3"/>
      <c r="D17" s="3">
        <f t="shared" ref="D17:F17" si="3">SUM(D6:D16)</f>
        <v>229</v>
      </c>
      <c r="E17" s="3">
        <f t="shared" si="3"/>
        <v>207</v>
      </c>
      <c r="F17" s="3">
        <f t="shared" si="3"/>
        <v>436</v>
      </c>
      <c r="G17" s="3"/>
      <c r="H17" s="3"/>
      <c r="I17" s="3"/>
      <c r="J17" s="3">
        <f t="shared" ref="J17:L17" si="4">SUM(J6:J16)</f>
        <v>435</v>
      </c>
      <c r="K17" s="3">
        <f t="shared" si="4"/>
        <v>201</v>
      </c>
      <c r="L17" s="3">
        <f t="shared" si="4"/>
        <v>234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/>
      <c r="B18" s="8" t="s">
        <v>28</v>
      </c>
      <c r="C18" s="18"/>
      <c r="D18" s="18"/>
      <c r="E18" s="18"/>
      <c r="F18" s="18"/>
      <c r="G18" s="18"/>
      <c r="H18" s="8" t="s">
        <v>28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3"/>
      <c r="B19" s="28" t="s">
        <v>36</v>
      </c>
      <c r="C19" s="28" t="s">
        <v>37</v>
      </c>
      <c r="D19" s="28" t="s">
        <v>39</v>
      </c>
      <c r="E19" s="28" t="s">
        <v>40</v>
      </c>
      <c r="F19" s="28" t="s">
        <v>38</v>
      </c>
      <c r="G19" s="3"/>
      <c r="H19" s="28" t="s">
        <v>36</v>
      </c>
      <c r="I19" s="28" t="s">
        <v>37</v>
      </c>
      <c r="J19" s="28" t="s">
        <v>38</v>
      </c>
      <c r="K19" s="28" t="s">
        <v>39</v>
      </c>
      <c r="L19" s="28" t="s">
        <v>40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8"/>
      <c r="B20" s="29" t="s">
        <v>41</v>
      </c>
      <c r="C20" s="30">
        <v>-1705.94</v>
      </c>
      <c r="D20" s="23">
        <v>20.0</v>
      </c>
      <c r="E20" s="23">
        <v>24.0</v>
      </c>
      <c r="F20" s="23">
        <f t="shared" ref="F20:F30" si="5">D20+E20</f>
        <v>44</v>
      </c>
      <c r="G20" s="18"/>
      <c r="H20" s="29" t="s">
        <v>41</v>
      </c>
      <c r="I20" s="30">
        <v>2457.64</v>
      </c>
      <c r="J20" s="23">
        <v>45.0</v>
      </c>
      <c r="K20" s="23">
        <v>29.0</v>
      </c>
      <c r="L20" s="23">
        <f t="shared" ref="L20:L30" si="6">J20-K20</f>
        <v>16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9" t="s">
        <v>42</v>
      </c>
      <c r="C21" s="23">
        <v>-488.34</v>
      </c>
      <c r="D21" s="23">
        <v>20.0</v>
      </c>
      <c r="E21" s="23">
        <v>19.0</v>
      </c>
      <c r="F21" s="23">
        <f t="shared" si="5"/>
        <v>39</v>
      </c>
      <c r="G21" s="18"/>
      <c r="H21" s="29" t="s">
        <v>42</v>
      </c>
      <c r="I21" s="23">
        <v>-348.19</v>
      </c>
      <c r="J21" s="23">
        <v>38.0</v>
      </c>
      <c r="K21" s="23">
        <v>20.0</v>
      </c>
      <c r="L21" s="23">
        <f t="shared" si="6"/>
        <v>18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9" t="s">
        <v>25</v>
      </c>
      <c r="C22" s="30">
        <v>-1009.32</v>
      </c>
      <c r="D22" s="23">
        <v>14.0</v>
      </c>
      <c r="E22" s="23">
        <v>26.0</v>
      </c>
      <c r="F22" s="23">
        <f t="shared" si="5"/>
        <v>40</v>
      </c>
      <c r="G22" s="18"/>
      <c r="H22" s="29" t="s">
        <v>25</v>
      </c>
      <c r="I22" s="30">
        <v>2056.53</v>
      </c>
      <c r="J22" s="23">
        <v>43.0</v>
      </c>
      <c r="K22" s="23">
        <v>27.0</v>
      </c>
      <c r="L22" s="23">
        <f t="shared" si="6"/>
        <v>16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9" t="s">
        <v>43</v>
      </c>
      <c r="C23" s="23">
        <v>-1070.86</v>
      </c>
      <c r="D23" s="23">
        <v>16.0</v>
      </c>
      <c r="E23" s="23">
        <v>25.0</v>
      </c>
      <c r="F23" s="23">
        <f t="shared" si="5"/>
        <v>41</v>
      </c>
      <c r="G23" s="18"/>
      <c r="H23" s="29" t="s">
        <v>43</v>
      </c>
      <c r="I23" s="23">
        <v>325.22</v>
      </c>
      <c r="J23" s="23">
        <v>46.0</v>
      </c>
      <c r="K23" s="23">
        <v>30.0</v>
      </c>
      <c r="L23" s="23">
        <f t="shared" si="6"/>
        <v>16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9" t="s">
        <v>44</v>
      </c>
      <c r="C24" s="30">
        <v>-591.44</v>
      </c>
      <c r="D24" s="23">
        <v>18.0</v>
      </c>
      <c r="E24" s="23">
        <v>24.0</v>
      </c>
      <c r="F24" s="23">
        <f t="shared" si="5"/>
        <v>42</v>
      </c>
      <c r="G24" s="18"/>
      <c r="H24" s="29" t="s">
        <v>44</v>
      </c>
      <c r="I24" s="23">
        <v>927.29</v>
      </c>
      <c r="J24" s="23">
        <v>38.0</v>
      </c>
      <c r="K24" s="23">
        <v>25.0</v>
      </c>
      <c r="L24" s="23">
        <f t="shared" si="6"/>
        <v>13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9" t="s">
        <v>45</v>
      </c>
      <c r="C25" s="23">
        <v>-865.24</v>
      </c>
      <c r="D25" s="23">
        <v>19.0</v>
      </c>
      <c r="E25" s="23">
        <v>27.0</v>
      </c>
      <c r="F25" s="23">
        <f t="shared" si="5"/>
        <v>46</v>
      </c>
      <c r="G25" s="18"/>
      <c r="H25" s="29" t="s">
        <v>45</v>
      </c>
      <c r="I25" s="23">
        <v>-237.1</v>
      </c>
      <c r="J25" s="23">
        <v>44.0</v>
      </c>
      <c r="K25" s="23">
        <v>21.0</v>
      </c>
      <c r="L25" s="23">
        <f t="shared" si="6"/>
        <v>23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9" t="s">
        <v>24</v>
      </c>
      <c r="C26" s="23">
        <v>-1346.1</v>
      </c>
      <c r="D26" s="23">
        <v>17.0</v>
      </c>
      <c r="E26" s="23">
        <v>27.0</v>
      </c>
      <c r="F26" s="23">
        <f t="shared" si="5"/>
        <v>44</v>
      </c>
      <c r="G26" s="18"/>
      <c r="H26" s="29" t="s">
        <v>24</v>
      </c>
      <c r="I26" s="23">
        <v>2400.66</v>
      </c>
      <c r="J26" s="23">
        <v>45.0</v>
      </c>
      <c r="K26" s="23">
        <v>26.0</v>
      </c>
      <c r="L26" s="23">
        <f t="shared" si="6"/>
        <v>19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9" t="s">
        <v>22</v>
      </c>
      <c r="C27" s="23">
        <v>-102.04</v>
      </c>
      <c r="D27" s="23">
        <v>17.0</v>
      </c>
      <c r="E27" s="23">
        <v>25.0</v>
      </c>
      <c r="F27" s="23">
        <f t="shared" si="5"/>
        <v>42</v>
      </c>
      <c r="G27" s="18"/>
      <c r="H27" s="29" t="s">
        <v>22</v>
      </c>
      <c r="I27" s="23">
        <v>2760.34</v>
      </c>
      <c r="J27" s="23">
        <v>44.0</v>
      </c>
      <c r="K27" s="23">
        <v>26.0</v>
      </c>
      <c r="L27" s="23">
        <f t="shared" si="6"/>
        <v>18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9" t="s">
        <v>19</v>
      </c>
      <c r="C28" s="23">
        <v>121.75</v>
      </c>
      <c r="D28" s="23">
        <v>20.0</v>
      </c>
      <c r="E28" s="23">
        <v>22.0</v>
      </c>
      <c r="F28" s="23">
        <f t="shared" si="5"/>
        <v>42</v>
      </c>
      <c r="G28" s="18"/>
      <c r="H28" s="29" t="s">
        <v>19</v>
      </c>
      <c r="I28" s="30">
        <v>978.79</v>
      </c>
      <c r="J28" s="23">
        <v>39.0</v>
      </c>
      <c r="K28" s="23">
        <v>23.0</v>
      </c>
      <c r="L28" s="23">
        <f t="shared" si="6"/>
        <v>16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9" t="s">
        <v>26</v>
      </c>
      <c r="C29" s="23">
        <v>-926.95</v>
      </c>
      <c r="D29" s="23">
        <v>18.0</v>
      </c>
      <c r="E29" s="23">
        <v>25.0</v>
      </c>
      <c r="F29" s="23">
        <f t="shared" si="5"/>
        <v>43</v>
      </c>
      <c r="G29" s="18"/>
      <c r="H29" s="29" t="s">
        <v>26</v>
      </c>
      <c r="I29" s="32">
        <v>805.88</v>
      </c>
      <c r="J29" s="23">
        <v>42.0</v>
      </c>
      <c r="K29" s="23">
        <v>21.0</v>
      </c>
      <c r="L29" s="23">
        <f t="shared" si="6"/>
        <v>21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9" t="s">
        <v>46</v>
      </c>
      <c r="C30" s="23">
        <v>582.68</v>
      </c>
      <c r="D30" s="23">
        <v>23.0</v>
      </c>
      <c r="E30" s="23">
        <v>18.0</v>
      </c>
      <c r="F30" s="23">
        <f t="shared" si="5"/>
        <v>41</v>
      </c>
      <c r="G30" s="18"/>
      <c r="H30" s="29" t="s">
        <v>46</v>
      </c>
      <c r="I30" s="23">
        <v>2175.81</v>
      </c>
      <c r="J30" s="23">
        <v>28.0</v>
      </c>
      <c r="K30" s="23">
        <v>13.0</v>
      </c>
      <c r="L30" s="23">
        <f t="shared" si="6"/>
        <v>15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3"/>
      <c r="B31" s="3"/>
      <c r="C31" s="3"/>
      <c r="D31" s="3">
        <f t="shared" ref="D31:F31" si="7">SUM(D20:D30)</f>
        <v>202</v>
      </c>
      <c r="E31" s="3">
        <f t="shared" si="7"/>
        <v>262</v>
      </c>
      <c r="F31" s="3">
        <f t="shared" si="7"/>
        <v>464</v>
      </c>
      <c r="G31" s="3"/>
      <c r="H31" s="3"/>
      <c r="I31" s="3"/>
      <c r="J31" s="3">
        <f t="shared" ref="J31:L31" si="8">SUM(J20:J30)</f>
        <v>452</v>
      </c>
      <c r="K31" s="3">
        <f t="shared" si="8"/>
        <v>261</v>
      </c>
      <c r="L31" s="3">
        <f t="shared" si="8"/>
        <v>191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8"/>
      <c r="B32" s="8" t="s">
        <v>29</v>
      </c>
      <c r="C32" s="18"/>
      <c r="D32" s="18"/>
      <c r="E32" s="18"/>
      <c r="F32" s="18"/>
      <c r="G32" s="18"/>
      <c r="H32" s="8" t="s">
        <v>29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7"/>
      <c r="B33" s="28" t="s">
        <v>36</v>
      </c>
      <c r="C33" s="28" t="s">
        <v>37</v>
      </c>
      <c r="D33" s="28" t="s">
        <v>39</v>
      </c>
      <c r="E33" s="28" t="s">
        <v>40</v>
      </c>
      <c r="F33" s="28" t="s">
        <v>38</v>
      </c>
      <c r="G33" s="18"/>
      <c r="H33" s="28" t="s">
        <v>36</v>
      </c>
      <c r="I33" s="28" t="s">
        <v>37</v>
      </c>
      <c r="J33" s="28" t="s">
        <v>38</v>
      </c>
      <c r="K33" s="28" t="s">
        <v>39</v>
      </c>
      <c r="L33" s="28" t="s">
        <v>40</v>
      </c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18"/>
      <c r="B34" s="29" t="s">
        <v>41</v>
      </c>
      <c r="C34" s="25">
        <v>388.25</v>
      </c>
      <c r="D34" s="23">
        <v>20.0</v>
      </c>
      <c r="E34" s="23">
        <v>21.0</v>
      </c>
      <c r="F34" s="23">
        <f t="shared" ref="F34:F44" si="9">D34+E34</f>
        <v>41</v>
      </c>
      <c r="G34" s="18"/>
      <c r="H34" s="29" t="s">
        <v>41</v>
      </c>
      <c r="I34" s="30">
        <v>-1193.65</v>
      </c>
      <c r="J34" s="23">
        <v>46.0</v>
      </c>
      <c r="K34" s="23">
        <v>18.0</v>
      </c>
      <c r="L34" s="23">
        <f t="shared" ref="L34:L44" si="10">J34-K34</f>
        <v>28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9" t="s">
        <v>42</v>
      </c>
      <c r="C35" s="25">
        <v>-858.0</v>
      </c>
      <c r="D35" s="23">
        <v>21.0</v>
      </c>
      <c r="E35" s="23">
        <v>25.0</v>
      </c>
      <c r="F35" s="23">
        <f t="shared" si="9"/>
        <v>46</v>
      </c>
      <c r="G35" s="18"/>
      <c r="H35" s="29" t="s">
        <v>42</v>
      </c>
      <c r="I35" s="30">
        <v>-4.9</v>
      </c>
      <c r="J35" s="23">
        <v>47.0</v>
      </c>
      <c r="K35" s="23">
        <v>28.0</v>
      </c>
      <c r="L35" s="23">
        <f t="shared" si="10"/>
        <v>19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9" t="s">
        <v>25</v>
      </c>
      <c r="C36" s="25">
        <v>1862.4</v>
      </c>
      <c r="D36" s="23">
        <v>21.0</v>
      </c>
      <c r="E36" s="23">
        <v>16.0</v>
      </c>
      <c r="F36" s="23">
        <f t="shared" si="9"/>
        <v>37</v>
      </c>
      <c r="G36" s="18"/>
      <c r="H36" s="29" t="s">
        <v>25</v>
      </c>
      <c r="I36" s="23">
        <v>727.84</v>
      </c>
      <c r="J36" s="23">
        <v>37.0</v>
      </c>
      <c r="K36" s="23">
        <v>20.0</v>
      </c>
      <c r="L36" s="23">
        <f t="shared" si="10"/>
        <v>17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9" t="s">
        <v>43</v>
      </c>
      <c r="C37" s="25">
        <v>2298.97</v>
      </c>
      <c r="D37" s="23">
        <v>26.0</v>
      </c>
      <c r="E37" s="23">
        <v>11.0</v>
      </c>
      <c r="F37" s="23">
        <f t="shared" si="9"/>
        <v>37</v>
      </c>
      <c r="G37" s="18"/>
      <c r="H37" s="29" t="s">
        <v>43</v>
      </c>
      <c r="I37" s="23">
        <v>-857.22</v>
      </c>
      <c r="J37" s="23">
        <v>39.0</v>
      </c>
      <c r="K37" s="23">
        <v>19.0</v>
      </c>
      <c r="L37" s="23">
        <f t="shared" si="10"/>
        <v>20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9" t="s">
        <v>44</v>
      </c>
      <c r="C38" s="25">
        <v>-644.49</v>
      </c>
      <c r="D38" s="23">
        <v>17.0</v>
      </c>
      <c r="E38" s="23">
        <v>24.0</v>
      </c>
      <c r="F38" s="23">
        <f t="shared" si="9"/>
        <v>41</v>
      </c>
      <c r="G38" s="18"/>
      <c r="H38" s="29" t="s">
        <v>44</v>
      </c>
      <c r="I38" s="23">
        <v>779.7</v>
      </c>
      <c r="J38" s="23">
        <v>34.0</v>
      </c>
      <c r="K38" s="23">
        <v>19.0</v>
      </c>
      <c r="L38" s="23">
        <f t="shared" si="10"/>
        <v>15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9" t="s">
        <v>45</v>
      </c>
      <c r="C39" s="25">
        <v>750.9</v>
      </c>
      <c r="D39" s="23">
        <v>23.0</v>
      </c>
      <c r="E39" s="23">
        <v>15.0</v>
      </c>
      <c r="F39" s="23">
        <f t="shared" si="9"/>
        <v>38</v>
      </c>
      <c r="G39" s="18"/>
      <c r="H39" s="29" t="s">
        <v>45</v>
      </c>
      <c r="I39" s="30">
        <v>-397.59</v>
      </c>
      <c r="J39" s="23">
        <v>35.0</v>
      </c>
      <c r="K39" s="23">
        <v>15.0</v>
      </c>
      <c r="L39" s="23">
        <f t="shared" si="10"/>
        <v>20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9" t="s">
        <v>24</v>
      </c>
      <c r="C40" s="31">
        <v>1262.58</v>
      </c>
      <c r="D40" s="23">
        <v>22.0</v>
      </c>
      <c r="E40" s="23">
        <v>16.0</v>
      </c>
      <c r="F40" s="23">
        <f t="shared" si="9"/>
        <v>38</v>
      </c>
      <c r="G40" s="18"/>
      <c r="H40" s="29" t="s">
        <v>24</v>
      </c>
      <c r="I40" s="30">
        <v>607.57</v>
      </c>
      <c r="J40" s="23">
        <v>40.0</v>
      </c>
      <c r="K40" s="23">
        <v>22.0</v>
      </c>
      <c r="L40" s="23">
        <f t="shared" si="10"/>
        <v>18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9" t="s">
        <v>22</v>
      </c>
      <c r="C41" s="25">
        <v>-259.24</v>
      </c>
      <c r="D41" s="23">
        <v>19.0</v>
      </c>
      <c r="E41" s="23">
        <v>25.0</v>
      </c>
      <c r="F41" s="23">
        <f t="shared" si="9"/>
        <v>44</v>
      </c>
      <c r="G41" s="18"/>
      <c r="H41" s="29" t="s">
        <v>22</v>
      </c>
      <c r="I41" s="30">
        <v>1275.54</v>
      </c>
      <c r="J41" s="23">
        <v>41.0</v>
      </c>
      <c r="K41" s="23">
        <v>21.0</v>
      </c>
      <c r="L41" s="23">
        <f t="shared" si="10"/>
        <v>20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9" t="s">
        <v>19</v>
      </c>
      <c r="C42" s="25">
        <v>-408.49</v>
      </c>
      <c r="D42" s="23">
        <v>19.0</v>
      </c>
      <c r="E42" s="23">
        <v>25.0</v>
      </c>
      <c r="F42" s="23">
        <f t="shared" si="9"/>
        <v>44</v>
      </c>
      <c r="G42" s="18"/>
      <c r="H42" s="29" t="s">
        <v>19</v>
      </c>
      <c r="I42" s="32">
        <v>-345.4</v>
      </c>
      <c r="J42" s="23">
        <v>43.0</v>
      </c>
      <c r="K42" s="23">
        <v>26.0</v>
      </c>
      <c r="L42" s="23">
        <f t="shared" si="10"/>
        <v>17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9" t="s">
        <v>26</v>
      </c>
      <c r="C43" s="25">
        <v>1410.56</v>
      </c>
      <c r="D43" s="23">
        <v>21.0</v>
      </c>
      <c r="E43" s="23">
        <v>22.0</v>
      </c>
      <c r="F43" s="23">
        <f t="shared" si="9"/>
        <v>43</v>
      </c>
      <c r="G43" s="18"/>
      <c r="H43" s="29" t="s">
        <v>26</v>
      </c>
      <c r="I43" s="30">
        <v>984.19</v>
      </c>
      <c r="J43" s="23">
        <v>43.0</v>
      </c>
      <c r="K43" s="23">
        <v>20.0</v>
      </c>
      <c r="L43" s="23">
        <f t="shared" si="10"/>
        <v>23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9" t="s">
        <v>46</v>
      </c>
      <c r="C44" s="25">
        <v>987.31</v>
      </c>
      <c r="D44" s="23">
        <v>16.0</v>
      </c>
      <c r="E44" s="23">
        <v>17.0</v>
      </c>
      <c r="F44" s="23">
        <f t="shared" si="9"/>
        <v>33</v>
      </c>
      <c r="G44" s="18"/>
      <c r="H44" s="29" t="s">
        <v>46</v>
      </c>
      <c r="I44" s="30">
        <v>1250.1</v>
      </c>
      <c r="J44" s="23">
        <v>39.0</v>
      </c>
      <c r="K44" s="23">
        <v>20.0</v>
      </c>
      <c r="L44" s="23">
        <f t="shared" si="10"/>
        <v>19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3"/>
      <c r="B45" s="3"/>
      <c r="C45" s="3"/>
      <c r="D45" s="3">
        <f t="shared" ref="D45:F45" si="11">SUM(D34:D44)</f>
        <v>225</v>
      </c>
      <c r="E45" s="3">
        <f t="shared" si="11"/>
        <v>217</v>
      </c>
      <c r="F45" s="3">
        <f t="shared" si="11"/>
        <v>442</v>
      </c>
      <c r="G45" s="3"/>
      <c r="H45" s="3"/>
      <c r="I45" s="3"/>
      <c r="J45" s="3">
        <f t="shared" ref="J45:L45" si="12">SUM(J34:J44)</f>
        <v>444</v>
      </c>
      <c r="K45" s="3">
        <f t="shared" si="12"/>
        <v>228</v>
      </c>
      <c r="L45" s="3">
        <f t="shared" si="12"/>
        <v>216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/>
      <c r="B46" s="8" t="s">
        <v>30</v>
      </c>
      <c r="C46" s="18"/>
      <c r="D46" s="18"/>
      <c r="E46" s="18"/>
      <c r="F46" s="18"/>
      <c r="G46" s="18"/>
      <c r="H46" s="8" t="s">
        <v>30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27"/>
      <c r="B47" s="28" t="s">
        <v>36</v>
      </c>
      <c r="C47" s="28" t="s">
        <v>37</v>
      </c>
      <c r="D47" s="28" t="s">
        <v>39</v>
      </c>
      <c r="E47" s="28" t="s">
        <v>40</v>
      </c>
      <c r="F47" s="28" t="s">
        <v>38</v>
      </c>
      <c r="G47" s="18"/>
      <c r="H47" s="28" t="s">
        <v>36</v>
      </c>
      <c r="I47" s="28" t="s">
        <v>37</v>
      </c>
      <c r="J47" s="28" t="s">
        <v>38</v>
      </c>
      <c r="K47" s="28" t="s">
        <v>39</v>
      </c>
      <c r="L47" s="28" t="s">
        <v>40</v>
      </c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18"/>
      <c r="B48" s="29" t="s">
        <v>41</v>
      </c>
      <c r="C48" s="23">
        <v>24.1</v>
      </c>
      <c r="D48" s="23">
        <v>19.0</v>
      </c>
      <c r="E48" s="23">
        <v>17.0</v>
      </c>
      <c r="F48" s="23">
        <f t="shared" ref="F48:F58" si="13">D48+E48</f>
        <v>36</v>
      </c>
      <c r="G48" s="18"/>
      <c r="H48" s="29" t="s">
        <v>41</v>
      </c>
      <c r="I48" s="23">
        <v>941.84</v>
      </c>
      <c r="J48" s="23">
        <v>39.0</v>
      </c>
      <c r="K48" s="23">
        <v>19.0</v>
      </c>
      <c r="L48" s="23">
        <f t="shared" ref="L48:L58" si="14">J48-K48</f>
        <v>20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9" t="s">
        <v>42</v>
      </c>
      <c r="C49" s="23">
        <v>303.25</v>
      </c>
      <c r="D49" s="23">
        <v>18.0</v>
      </c>
      <c r="E49" s="23">
        <v>20.0</v>
      </c>
      <c r="F49" s="23">
        <f t="shared" si="13"/>
        <v>38</v>
      </c>
      <c r="G49" s="18"/>
      <c r="H49" s="29" t="s">
        <v>42</v>
      </c>
      <c r="I49" s="23">
        <v>1242.59</v>
      </c>
      <c r="J49" s="23">
        <v>33.0</v>
      </c>
      <c r="K49" s="23">
        <v>18.0</v>
      </c>
      <c r="L49" s="23">
        <f t="shared" si="14"/>
        <v>15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9" t="s">
        <v>25</v>
      </c>
      <c r="C50" s="23">
        <v>-1282.94</v>
      </c>
      <c r="D50" s="23">
        <v>16.0</v>
      </c>
      <c r="E50" s="23">
        <v>24.0</v>
      </c>
      <c r="F50" s="23">
        <f t="shared" si="13"/>
        <v>40</v>
      </c>
      <c r="G50" s="18"/>
      <c r="H50" s="29" t="s">
        <v>25</v>
      </c>
      <c r="I50" s="30">
        <v>-137.95</v>
      </c>
      <c r="J50" s="23">
        <v>39.0</v>
      </c>
      <c r="K50" s="23">
        <v>17.0</v>
      </c>
      <c r="L50" s="23">
        <f t="shared" si="14"/>
        <v>22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9" t="s">
        <v>43</v>
      </c>
      <c r="C51" s="23">
        <v>-707.14</v>
      </c>
      <c r="D51" s="23">
        <v>19.0</v>
      </c>
      <c r="E51" s="23">
        <v>19.0</v>
      </c>
      <c r="F51" s="23">
        <f t="shared" si="13"/>
        <v>38</v>
      </c>
      <c r="G51" s="18"/>
      <c r="H51" s="29" t="s">
        <v>43</v>
      </c>
      <c r="I51" s="23">
        <v>1313.59</v>
      </c>
      <c r="J51" s="23">
        <v>42.0</v>
      </c>
      <c r="K51" s="23">
        <v>22.0</v>
      </c>
      <c r="L51" s="23">
        <f t="shared" si="14"/>
        <v>20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9" t="s">
        <v>44</v>
      </c>
      <c r="C52" s="30">
        <v>-555.24</v>
      </c>
      <c r="D52" s="23">
        <v>19.0</v>
      </c>
      <c r="E52" s="23">
        <v>21.0</v>
      </c>
      <c r="F52" s="23">
        <f t="shared" si="13"/>
        <v>40</v>
      </c>
      <c r="G52" s="18"/>
      <c r="H52" s="29" t="s">
        <v>44</v>
      </c>
      <c r="I52" s="23">
        <v>1997.54</v>
      </c>
      <c r="J52" s="23">
        <v>40.0</v>
      </c>
      <c r="K52" s="23">
        <v>24.0</v>
      </c>
      <c r="L52" s="23">
        <f t="shared" si="14"/>
        <v>16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9" t="s">
        <v>45</v>
      </c>
      <c r="C53" s="23">
        <v>740.9</v>
      </c>
      <c r="D53" s="23">
        <v>21.0</v>
      </c>
      <c r="E53" s="23">
        <v>18.0</v>
      </c>
      <c r="F53" s="23">
        <f t="shared" si="13"/>
        <v>39</v>
      </c>
      <c r="G53" s="18"/>
      <c r="H53" s="29" t="s">
        <v>45</v>
      </c>
      <c r="I53" s="30">
        <v>869.84</v>
      </c>
      <c r="J53" s="23">
        <v>42.0</v>
      </c>
      <c r="K53" s="23">
        <v>23.0</v>
      </c>
      <c r="L53" s="23">
        <f t="shared" si="14"/>
        <v>19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9" t="s">
        <v>24</v>
      </c>
      <c r="C54" s="23">
        <v>219.8</v>
      </c>
      <c r="D54" s="23">
        <v>17.0</v>
      </c>
      <c r="E54" s="23">
        <v>20.0</v>
      </c>
      <c r="F54" s="23">
        <f t="shared" si="13"/>
        <v>37</v>
      </c>
      <c r="G54" s="18"/>
      <c r="H54" s="29" t="s">
        <v>24</v>
      </c>
      <c r="I54" s="23">
        <v>874.21</v>
      </c>
      <c r="J54" s="23">
        <v>38.0</v>
      </c>
      <c r="K54" s="23">
        <v>17.0</v>
      </c>
      <c r="L54" s="23">
        <f t="shared" si="14"/>
        <v>21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9" t="s">
        <v>22</v>
      </c>
      <c r="C55" s="23">
        <v>275.2</v>
      </c>
      <c r="D55" s="23">
        <v>22.0</v>
      </c>
      <c r="E55" s="23">
        <v>21.0</v>
      </c>
      <c r="F55" s="23">
        <f t="shared" si="13"/>
        <v>43</v>
      </c>
      <c r="G55" s="18"/>
      <c r="H55" s="29" t="s">
        <v>22</v>
      </c>
      <c r="I55" s="23">
        <v>-196.15</v>
      </c>
      <c r="J55" s="23">
        <v>43.0</v>
      </c>
      <c r="K55" s="23">
        <v>18.0</v>
      </c>
      <c r="L55" s="23">
        <f t="shared" si="14"/>
        <v>25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9" t="s">
        <v>19</v>
      </c>
      <c r="C56" s="23">
        <v>-187.24</v>
      </c>
      <c r="D56" s="23">
        <v>22.0</v>
      </c>
      <c r="E56" s="23">
        <v>18.0</v>
      </c>
      <c r="F56" s="23">
        <f t="shared" si="13"/>
        <v>40</v>
      </c>
      <c r="G56" s="18"/>
      <c r="H56" s="29" t="s">
        <v>19</v>
      </c>
      <c r="I56" s="30">
        <v>-394.45</v>
      </c>
      <c r="J56" s="23">
        <v>40.0</v>
      </c>
      <c r="K56" s="23">
        <v>16.0</v>
      </c>
      <c r="L56" s="23">
        <f t="shared" si="14"/>
        <v>24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9" t="s">
        <v>26</v>
      </c>
      <c r="C57" s="30">
        <v>1451.98</v>
      </c>
      <c r="D57" s="23">
        <v>21.0</v>
      </c>
      <c r="E57" s="23">
        <v>18.0</v>
      </c>
      <c r="F57" s="23">
        <f t="shared" si="13"/>
        <v>39</v>
      </c>
      <c r="G57" s="18"/>
      <c r="H57" s="29" t="s">
        <v>26</v>
      </c>
      <c r="I57" s="30">
        <v>-363.24</v>
      </c>
      <c r="J57" s="23">
        <v>42.0</v>
      </c>
      <c r="K57" s="23">
        <v>17.0</v>
      </c>
      <c r="L57" s="23">
        <f t="shared" si="14"/>
        <v>25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9" t="s">
        <v>46</v>
      </c>
      <c r="C58" s="23">
        <v>-438.91</v>
      </c>
      <c r="D58" s="23">
        <v>15.0</v>
      </c>
      <c r="E58" s="23">
        <v>17.0</v>
      </c>
      <c r="F58" s="23">
        <f t="shared" si="13"/>
        <v>32</v>
      </c>
      <c r="G58" s="18"/>
      <c r="H58" s="29" t="s">
        <v>46</v>
      </c>
      <c r="I58" s="30">
        <v>1257.96</v>
      </c>
      <c r="J58" s="23">
        <v>35.0</v>
      </c>
      <c r="K58" s="23">
        <v>19.0</v>
      </c>
      <c r="L58" s="23">
        <f t="shared" si="14"/>
        <v>16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3"/>
      <c r="B59" s="3"/>
      <c r="C59" s="3"/>
      <c r="D59" s="3">
        <f t="shared" ref="D59:F59" si="15">SUM(D48:D58)</f>
        <v>209</v>
      </c>
      <c r="E59" s="3">
        <f t="shared" si="15"/>
        <v>213</v>
      </c>
      <c r="F59" s="3">
        <f t="shared" si="15"/>
        <v>422</v>
      </c>
      <c r="G59" s="3"/>
      <c r="H59" s="3"/>
      <c r="I59" s="3"/>
      <c r="J59" s="3">
        <f t="shared" ref="J59:L59" si="16">SUM(J48:J58)</f>
        <v>433</v>
      </c>
      <c r="K59" s="3">
        <f t="shared" si="16"/>
        <v>210</v>
      </c>
      <c r="L59" s="3">
        <f t="shared" si="16"/>
        <v>223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3"/>
      <c r="B60" s="3"/>
      <c r="C60" s="15" t="s">
        <v>31</v>
      </c>
      <c r="D60" s="3">
        <f t="shared" ref="D60:F60" si="17">D59+D45+D31+D17</f>
        <v>865</v>
      </c>
      <c r="E60" s="3">
        <f t="shared" si="17"/>
        <v>899</v>
      </c>
      <c r="F60" s="3">
        <f t="shared" si="17"/>
        <v>1764</v>
      </c>
      <c r="G60" s="3"/>
      <c r="H60" s="3"/>
      <c r="I60" s="15" t="s">
        <v>32</v>
      </c>
      <c r="J60" s="3">
        <f t="shared" ref="J60:L60" si="18">J59+J45+J31+J17</f>
        <v>1764</v>
      </c>
      <c r="K60" s="3">
        <f t="shared" si="18"/>
        <v>900</v>
      </c>
      <c r="L60" s="3">
        <f t="shared" si="18"/>
        <v>864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3"/>
      <c r="B61" s="3"/>
      <c r="C61" s="15" t="s">
        <v>33</v>
      </c>
      <c r="D61" s="3">
        <f t="shared" ref="D61:F61" si="19">D60+J60</f>
        <v>2629</v>
      </c>
      <c r="E61" s="3">
        <f t="shared" si="19"/>
        <v>1799</v>
      </c>
      <c r="F61" s="3">
        <f t="shared" si="19"/>
        <v>2628</v>
      </c>
      <c r="G61" s="3"/>
      <c r="H61" s="3"/>
      <c r="I61" s="3"/>
      <c r="J61" s="3"/>
      <c r="K61" s="3"/>
      <c r="L61" s="3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3"/>
      <c r="B62" s="3"/>
      <c r="C62" s="15" t="s">
        <v>34</v>
      </c>
      <c r="D62" s="16">
        <f>E61/D61</f>
        <v>0.6842906048</v>
      </c>
      <c r="E62" s="3"/>
      <c r="F62" s="3"/>
      <c r="G62" s="3"/>
      <c r="H62" s="3"/>
      <c r="I62" s="3"/>
      <c r="J62" s="3"/>
      <c r="K62" s="3"/>
      <c r="L62" s="3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3"/>
      <c r="B63" s="3"/>
      <c r="C63" s="15" t="s">
        <v>35</v>
      </c>
      <c r="D63" s="17">
        <f>1-D62</f>
        <v>0.3157093952</v>
      </c>
      <c r="E63" s="3"/>
      <c r="F63" s="3"/>
      <c r="G63" s="3"/>
      <c r="H63" s="3"/>
      <c r="I63" s="3"/>
      <c r="J63" s="3"/>
      <c r="K63" s="3"/>
      <c r="L63" s="3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B1:L1"/>
    <mergeCell ref="B3:F3"/>
    <mergeCell ref="H3:L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5"/>
    <col customWidth="1" min="5" max="5" width="13.88"/>
    <col customWidth="1" min="6" max="6" width="13.63"/>
    <col customWidth="1" min="10" max="10" width="17.38"/>
    <col customWidth="1" min="11" max="11" width="14.0"/>
    <col customWidth="1" min="12" max="12" width="13.25"/>
  </cols>
  <sheetData>
    <row r="1">
      <c r="A1" s="18"/>
      <c r="B1" s="19" t="s">
        <v>8</v>
      </c>
      <c r="C1" s="5"/>
      <c r="D1" s="5"/>
      <c r="E1" s="5"/>
      <c r="F1" s="5"/>
      <c r="G1" s="5"/>
      <c r="H1" s="5"/>
      <c r="I1" s="5"/>
      <c r="J1" s="5"/>
      <c r="K1" s="5"/>
      <c r="L1" s="6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7" t="s">
        <v>9</v>
      </c>
      <c r="C3" s="5"/>
      <c r="D3" s="5"/>
      <c r="E3" s="5"/>
      <c r="F3" s="6"/>
      <c r="G3" s="18"/>
      <c r="H3" s="7" t="s">
        <v>10</v>
      </c>
      <c r="I3" s="5"/>
      <c r="J3" s="5"/>
      <c r="K3" s="5"/>
      <c r="L3" s="6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8" t="s">
        <v>11</v>
      </c>
      <c r="C4" s="20"/>
      <c r="D4" s="20"/>
      <c r="E4" s="20"/>
      <c r="F4" s="20"/>
      <c r="G4" s="18"/>
      <c r="H4" s="8" t="s">
        <v>11</v>
      </c>
      <c r="I4" s="20"/>
      <c r="J4" s="20"/>
      <c r="K4" s="20"/>
      <c r="L4" s="20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9" t="s">
        <v>12</v>
      </c>
      <c r="C5" s="10" t="s">
        <v>13</v>
      </c>
      <c r="D5" s="11" t="s">
        <v>14</v>
      </c>
      <c r="E5" s="11" t="s">
        <v>15</v>
      </c>
      <c r="F5" s="11" t="s">
        <v>16</v>
      </c>
      <c r="G5" s="3"/>
      <c r="H5" s="9" t="s">
        <v>12</v>
      </c>
      <c r="I5" s="10" t="s">
        <v>13</v>
      </c>
      <c r="J5" s="11" t="s">
        <v>14</v>
      </c>
      <c r="K5" s="11" t="s">
        <v>15</v>
      </c>
      <c r="L5" s="11" t="s">
        <v>16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1"/>
      <c r="B6" s="22" t="s">
        <v>17</v>
      </c>
      <c r="C6" s="23">
        <v>1403.2</v>
      </c>
      <c r="D6" s="23">
        <v>68.0</v>
      </c>
      <c r="E6" s="23">
        <v>36.0</v>
      </c>
      <c r="F6" s="23">
        <v>32.0</v>
      </c>
      <c r="G6" s="18"/>
      <c r="H6" s="22" t="s">
        <v>17</v>
      </c>
      <c r="I6" s="23">
        <v>1050.34</v>
      </c>
      <c r="J6" s="23">
        <v>30.0</v>
      </c>
      <c r="K6" s="23">
        <v>15.0</v>
      </c>
      <c r="L6" s="23">
        <f t="shared" ref="L6:L16" si="1">J6-K6</f>
        <v>15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4"/>
      <c r="B7" s="22" t="s">
        <v>18</v>
      </c>
      <c r="C7" s="23">
        <v>-1930.09</v>
      </c>
      <c r="D7" s="23">
        <v>90.0</v>
      </c>
      <c r="E7" s="23">
        <v>34.0</v>
      </c>
      <c r="F7" s="23">
        <v>56.0</v>
      </c>
      <c r="G7" s="18"/>
      <c r="H7" s="22" t="s">
        <v>18</v>
      </c>
      <c r="I7" s="23">
        <v>-1655.25</v>
      </c>
      <c r="J7" s="23">
        <v>50.0</v>
      </c>
      <c r="K7" s="23">
        <v>17.0</v>
      </c>
      <c r="L7" s="23">
        <f t="shared" si="1"/>
        <v>33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/>
      <c r="B8" s="22" t="s">
        <v>19</v>
      </c>
      <c r="C8" s="23">
        <v>1700.65</v>
      </c>
      <c r="D8" s="23">
        <v>79.0</v>
      </c>
      <c r="E8" s="23">
        <v>38.0</v>
      </c>
      <c r="F8" s="23">
        <v>41.0</v>
      </c>
      <c r="G8" s="18"/>
      <c r="H8" s="22" t="s">
        <v>19</v>
      </c>
      <c r="I8" s="23">
        <v>120.54</v>
      </c>
      <c r="J8" s="23">
        <v>42.0</v>
      </c>
      <c r="K8" s="23">
        <v>20.0</v>
      </c>
      <c r="L8" s="23">
        <f t="shared" si="1"/>
        <v>22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4"/>
      <c r="B9" s="22" t="s">
        <v>20</v>
      </c>
      <c r="C9" s="23">
        <v>1042.2</v>
      </c>
      <c r="D9" s="23">
        <v>94.0</v>
      </c>
      <c r="E9" s="23">
        <v>43.0</v>
      </c>
      <c r="F9" s="23">
        <v>51.0</v>
      </c>
      <c r="G9" s="18"/>
      <c r="H9" s="22" t="s">
        <v>20</v>
      </c>
      <c r="I9" s="23">
        <v>-1457.19</v>
      </c>
      <c r="J9" s="23">
        <v>48.0</v>
      </c>
      <c r="K9" s="23">
        <v>19.0</v>
      </c>
      <c r="L9" s="23">
        <f t="shared" si="1"/>
        <v>29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1"/>
      <c r="B10" s="22" t="s">
        <v>21</v>
      </c>
      <c r="C10" s="23">
        <v>4040.95</v>
      </c>
      <c r="D10" s="23">
        <v>96.0</v>
      </c>
      <c r="E10" s="23">
        <v>49.0</v>
      </c>
      <c r="F10" s="23">
        <v>47.0</v>
      </c>
      <c r="G10" s="18"/>
      <c r="H10" s="22" t="s">
        <v>21</v>
      </c>
      <c r="I10" s="23">
        <v>-3839.45</v>
      </c>
      <c r="J10" s="23">
        <v>55.0</v>
      </c>
      <c r="K10" s="23">
        <v>15.0</v>
      </c>
      <c r="L10" s="23">
        <f t="shared" si="1"/>
        <v>40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1"/>
      <c r="B11" s="22" t="s">
        <v>22</v>
      </c>
      <c r="C11" s="23">
        <v>4425.1</v>
      </c>
      <c r="D11" s="23">
        <v>98.0</v>
      </c>
      <c r="E11" s="23">
        <v>52.0</v>
      </c>
      <c r="F11" s="23">
        <v>46.0</v>
      </c>
      <c r="G11" s="18"/>
      <c r="H11" s="22" t="s">
        <v>22</v>
      </c>
      <c r="I11" s="23">
        <v>-3207.15</v>
      </c>
      <c r="J11" s="23">
        <v>70.0</v>
      </c>
      <c r="K11" s="23">
        <v>23.0</v>
      </c>
      <c r="L11" s="23">
        <f t="shared" si="1"/>
        <v>47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4"/>
      <c r="B12" s="22" t="s">
        <v>23</v>
      </c>
      <c r="C12" s="23">
        <v>523.25</v>
      </c>
      <c r="D12" s="23">
        <v>78.0</v>
      </c>
      <c r="E12" s="23">
        <v>42.0</v>
      </c>
      <c r="F12" s="23">
        <v>36.0</v>
      </c>
      <c r="G12" s="18"/>
      <c r="H12" s="22" t="s">
        <v>23</v>
      </c>
      <c r="I12" s="23">
        <v>-495.9</v>
      </c>
      <c r="J12" s="23">
        <v>29.0</v>
      </c>
      <c r="K12" s="23">
        <v>10.0</v>
      </c>
      <c r="L12" s="23">
        <f t="shared" si="1"/>
        <v>19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1"/>
      <c r="B13" s="22" t="s">
        <v>24</v>
      </c>
      <c r="C13" s="23">
        <v>1431.09</v>
      </c>
      <c r="D13" s="23">
        <v>97.0</v>
      </c>
      <c r="E13" s="23">
        <v>42.0</v>
      </c>
      <c r="F13" s="23">
        <v>55.0</v>
      </c>
      <c r="G13" s="18"/>
      <c r="H13" s="22" t="s">
        <v>24</v>
      </c>
      <c r="I13" s="23">
        <v>-5485.14</v>
      </c>
      <c r="J13" s="23">
        <v>69.0</v>
      </c>
      <c r="K13" s="23">
        <v>17.0</v>
      </c>
      <c r="L13" s="23">
        <f t="shared" si="1"/>
        <v>52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4"/>
      <c r="B14" s="22" t="s">
        <v>25</v>
      </c>
      <c r="C14" s="23">
        <v>2025.95</v>
      </c>
      <c r="D14" s="23">
        <v>95.0</v>
      </c>
      <c r="E14" s="23">
        <v>48.0</v>
      </c>
      <c r="F14" s="23">
        <v>47.0</v>
      </c>
      <c r="G14" s="18"/>
      <c r="H14" s="22" t="s">
        <v>25</v>
      </c>
      <c r="I14" s="23">
        <v>-1148.97</v>
      </c>
      <c r="J14" s="23">
        <v>50.0</v>
      </c>
      <c r="K14" s="23">
        <v>20.0</v>
      </c>
      <c r="L14" s="23">
        <f t="shared" si="1"/>
        <v>30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1"/>
      <c r="B15" s="22" t="s">
        <v>26</v>
      </c>
      <c r="C15" s="23">
        <v>1456.12</v>
      </c>
      <c r="D15" s="23">
        <v>101.0</v>
      </c>
      <c r="E15" s="23">
        <v>44.0</v>
      </c>
      <c r="F15" s="23">
        <v>57.0</v>
      </c>
      <c r="G15" s="18"/>
      <c r="H15" s="22" t="s">
        <v>26</v>
      </c>
      <c r="I15" s="23">
        <v>38.39</v>
      </c>
      <c r="J15" s="23">
        <v>73.0</v>
      </c>
      <c r="K15" s="23">
        <v>28.0</v>
      </c>
      <c r="L15" s="23">
        <f t="shared" si="1"/>
        <v>45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2" t="s">
        <v>27</v>
      </c>
      <c r="C16" s="23">
        <v>1502.07</v>
      </c>
      <c r="D16" s="23">
        <v>87.0</v>
      </c>
      <c r="E16" s="23">
        <v>47.0</v>
      </c>
      <c r="F16" s="23">
        <v>40.0</v>
      </c>
      <c r="G16" s="18"/>
      <c r="H16" s="22" t="s">
        <v>27</v>
      </c>
      <c r="I16" s="23">
        <v>1501.5</v>
      </c>
      <c r="J16" s="23">
        <v>37.0</v>
      </c>
      <c r="K16" s="23">
        <v>21.0</v>
      </c>
      <c r="L16" s="23">
        <f t="shared" si="1"/>
        <v>16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3"/>
      <c r="B17" s="3"/>
      <c r="C17" s="3"/>
      <c r="D17" s="3">
        <f t="shared" ref="D17:F17" si="2">SUM(D6:D16)</f>
        <v>983</v>
      </c>
      <c r="E17" s="3">
        <f t="shared" si="2"/>
        <v>475</v>
      </c>
      <c r="F17" s="3">
        <f t="shared" si="2"/>
        <v>508</v>
      </c>
      <c r="G17" s="3"/>
      <c r="H17" s="3"/>
      <c r="I17" s="3"/>
      <c r="J17" s="3">
        <f t="shared" ref="J17:L17" si="3">SUM(J6:J16)</f>
        <v>553</v>
      </c>
      <c r="K17" s="3">
        <f t="shared" si="3"/>
        <v>205</v>
      </c>
      <c r="L17" s="3">
        <f t="shared" si="3"/>
        <v>348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/>
      <c r="B18" s="8" t="s">
        <v>28</v>
      </c>
      <c r="C18" s="18"/>
      <c r="D18" s="18"/>
      <c r="E18" s="18"/>
      <c r="F18" s="18"/>
      <c r="G18" s="18"/>
      <c r="H18" s="8" t="s">
        <v>28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9" t="s">
        <v>12</v>
      </c>
      <c r="C19" s="10" t="s">
        <v>13</v>
      </c>
      <c r="D19" s="11" t="s">
        <v>14</v>
      </c>
      <c r="E19" s="11" t="s">
        <v>15</v>
      </c>
      <c r="F19" s="11" t="s">
        <v>16</v>
      </c>
      <c r="G19" s="3"/>
      <c r="H19" s="9" t="s">
        <v>12</v>
      </c>
      <c r="I19" s="10" t="s">
        <v>13</v>
      </c>
      <c r="J19" s="11" t="s">
        <v>14</v>
      </c>
      <c r="K19" s="11" t="s">
        <v>15</v>
      </c>
      <c r="L19" s="11" t="s">
        <v>16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2" t="s">
        <v>17</v>
      </c>
      <c r="C20" s="23">
        <v>-1287.69</v>
      </c>
      <c r="D20" s="23">
        <v>74.0</v>
      </c>
      <c r="E20" s="23">
        <v>34.0</v>
      </c>
      <c r="F20" s="23">
        <v>40.0</v>
      </c>
      <c r="G20" s="18"/>
      <c r="H20" s="22" t="s">
        <v>17</v>
      </c>
      <c r="I20" s="23">
        <v>810.99</v>
      </c>
      <c r="J20" s="23">
        <v>68.0</v>
      </c>
      <c r="K20" s="23">
        <v>36.0</v>
      </c>
      <c r="L20" s="23">
        <f t="shared" ref="L20:L30" si="4">J20-K20</f>
        <v>32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2" t="s">
        <v>18</v>
      </c>
      <c r="C21" s="23">
        <v>-805.85</v>
      </c>
      <c r="D21" s="23">
        <v>80.0</v>
      </c>
      <c r="E21" s="23">
        <v>39.0</v>
      </c>
      <c r="F21" s="23">
        <v>41.0</v>
      </c>
      <c r="G21" s="18"/>
      <c r="H21" s="22" t="s">
        <v>18</v>
      </c>
      <c r="I21" s="23">
        <v>-149.79</v>
      </c>
      <c r="J21" s="23">
        <v>83.0</v>
      </c>
      <c r="K21" s="23">
        <v>41.0</v>
      </c>
      <c r="L21" s="23">
        <f t="shared" si="4"/>
        <v>42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2" t="s">
        <v>19</v>
      </c>
      <c r="C22" s="23">
        <v>-159.79</v>
      </c>
      <c r="D22" s="23">
        <v>77.0</v>
      </c>
      <c r="E22" s="23">
        <v>36.0</v>
      </c>
      <c r="F22" s="23">
        <v>41.0</v>
      </c>
      <c r="G22" s="18"/>
      <c r="H22" s="22" t="s">
        <v>19</v>
      </c>
      <c r="I22" s="23">
        <v>2403.04</v>
      </c>
      <c r="J22" s="23">
        <v>75.0</v>
      </c>
      <c r="K22" s="23">
        <v>45.0</v>
      </c>
      <c r="L22" s="23">
        <f t="shared" si="4"/>
        <v>30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2" t="s">
        <v>20</v>
      </c>
      <c r="C23" s="23">
        <v>-1674.86</v>
      </c>
      <c r="D23" s="23">
        <v>86.0</v>
      </c>
      <c r="E23" s="23">
        <v>33.0</v>
      </c>
      <c r="F23" s="23">
        <v>53.0</v>
      </c>
      <c r="G23" s="18"/>
      <c r="H23" s="22" t="s">
        <v>20</v>
      </c>
      <c r="I23" s="23">
        <v>2695.14</v>
      </c>
      <c r="J23" s="23">
        <v>81.0</v>
      </c>
      <c r="K23" s="23">
        <v>46.0</v>
      </c>
      <c r="L23" s="23">
        <f t="shared" si="4"/>
        <v>35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2" t="s">
        <v>21</v>
      </c>
      <c r="C24" s="23">
        <v>-702.54</v>
      </c>
      <c r="D24" s="23">
        <v>95.0</v>
      </c>
      <c r="E24" s="23">
        <v>38.0</v>
      </c>
      <c r="F24" s="23">
        <v>57.0</v>
      </c>
      <c r="G24" s="18"/>
      <c r="H24" s="22" t="s">
        <v>21</v>
      </c>
      <c r="I24" s="23">
        <v>3313.69</v>
      </c>
      <c r="J24" s="23">
        <v>96.0</v>
      </c>
      <c r="K24" s="23">
        <v>50.0</v>
      </c>
      <c r="L24" s="23">
        <f t="shared" si="4"/>
        <v>46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2" t="s">
        <v>22</v>
      </c>
      <c r="C25" s="23">
        <v>-2794.04</v>
      </c>
      <c r="D25" s="23">
        <v>93.0</v>
      </c>
      <c r="E25" s="23">
        <v>33.0</v>
      </c>
      <c r="F25" s="23">
        <v>60.0</v>
      </c>
      <c r="G25" s="18"/>
      <c r="H25" s="22" t="s">
        <v>22</v>
      </c>
      <c r="I25" s="23">
        <v>5211.84</v>
      </c>
      <c r="J25" s="23">
        <v>93.0</v>
      </c>
      <c r="K25" s="23">
        <v>59.0</v>
      </c>
      <c r="L25" s="23">
        <f t="shared" si="4"/>
        <v>34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2" t="s">
        <v>23</v>
      </c>
      <c r="C26" s="23">
        <v>34.65</v>
      </c>
      <c r="D26" s="23">
        <v>71.0</v>
      </c>
      <c r="E26" s="23">
        <v>33.0</v>
      </c>
      <c r="F26" s="23">
        <v>38.0</v>
      </c>
      <c r="G26" s="18"/>
      <c r="H26" s="22" t="s">
        <v>23</v>
      </c>
      <c r="I26" s="23">
        <v>637.14</v>
      </c>
      <c r="J26" s="23">
        <v>66.0</v>
      </c>
      <c r="K26" s="23">
        <v>38.0</v>
      </c>
      <c r="L26" s="23">
        <f t="shared" si="4"/>
        <v>28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2" t="s">
        <v>24</v>
      </c>
      <c r="C27" s="23">
        <v>-2237.37</v>
      </c>
      <c r="D27" s="23">
        <v>87.0</v>
      </c>
      <c r="E27" s="23">
        <v>33.0</v>
      </c>
      <c r="F27" s="23">
        <v>54.0</v>
      </c>
      <c r="G27" s="18"/>
      <c r="H27" s="22" t="s">
        <v>24</v>
      </c>
      <c r="I27" s="23">
        <v>2834.3</v>
      </c>
      <c r="J27" s="23">
        <v>77.0</v>
      </c>
      <c r="K27" s="23">
        <v>47.0</v>
      </c>
      <c r="L27" s="23">
        <f t="shared" si="4"/>
        <v>30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2" t="s">
        <v>25</v>
      </c>
      <c r="C28" s="23">
        <v>-696.19</v>
      </c>
      <c r="D28" s="23">
        <v>87.0</v>
      </c>
      <c r="E28" s="23">
        <v>36.0</v>
      </c>
      <c r="F28" s="23">
        <v>51.0</v>
      </c>
      <c r="G28" s="18"/>
      <c r="H28" s="22" t="s">
        <v>25</v>
      </c>
      <c r="I28" s="23">
        <v>3159.7</v>
      </c>
      <c r="J28" s="23">
        <v>84.0</v>
      </c>
      <c r="K28" s="23">
        <v>49.0</v>
      </c>
      <c r="L28" s="23">
        <f t="shared" si="4"/>
        <v>35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2" t="s">
        <v>26</v>
      </c>
      <c r="C29" s="23">
        <v>-1565.12</v>
      </c>
      <c r="D29" s="23">
        <v>98.0</v>
      </c>
      <c r="E29" s="23">
        <v>38.0</v>
      </c>
      <c r="F29" s="23">
        <v>60.0</v>
      </c>
      <c r="G29" s="18"/>
      <c r="H29" s="22" t="s">
        <v>26</v>
      </c>
      <c r="I29" s="23">
        <v>2804.68</v>
      </c>
      <c r="J29" s="23">
        <v>89.0</v>
      </c>
      <c r="K29" s="23">
        <v>45.0</v>
      </c>
      <c r="L29" s="23">
        <f t="shared" si="4"/>
        <v>44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2" t="s">
        <v>27</v>
      </c>
      <c r="C30" s="23">
        <v>-3072.62</v>
      </c>
      <c r="D30" s="23">
        <v>86.0</v>
      </c>
      <c r="E30" s="23">
        <v>29.0</v>
      </c>
      <c r="F30" s="23">
        <v>57.0</v>
      </c>
      <c r="G30" s="18"/>
      <c r="H30" s="22" t="s">
        <v>27</v>
      </c>
      <c r="I30" s="23">
        <v>2998.48</v>
      </c>
      <c r="J30" s="23">
        <v>78.0</v>
      </c>
      <c r="K30" s="23">
        <v>46.0</v>
      </c>
      <c r="L30" s="23">
        <f t="shared" si="4"/>
        <v>32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3"/>
      <c r="B31" s="3"/>
      <c r="C31" s="3"/>
      <c r="D31" s="3">
        <f t="shared" ref="D31:F31" si="5">SUM(D20:D30)</f>
        <v>934</v>
      </c>
      <c r="E31" s="3">
        <f t="shared" si="5"/>
        <v>382</v>
      </c>
      <c r="F31" s="3">
        <f t="shared" si="5"/>
        <v>552</v>
      </c>
      <c r="G31" s="3"/>
      <c r="H31" s="3"/>
      <c r="I31" s="3"/>
      <c r="J31" s="3">
        <f t="shared" ref="J31:L31" si="6">SUM(J20:J30)</f>
        <v>890</v>
      </c>
      <c r="K31" s="3">
        <f t="shared" si="6"/>
        <v>502</v>
      </c>
      <c r="L31" s="3">
        <f t="shared" si="6"/>
        <v>388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8"/>
      <c r="B32" s="8" t="s">
        <v>29</v>
      </c>
      <c r="C32" s="18"/>
      <c r="D32" s="18"/>
      <c r="E32" s="18"/>
      <c r="F32" s="18"/>
      <c r="G32" s="18"/>
      <c r="H32" s="8" t="s">
        <v>29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9" t="s">
        <v>12</v>
      </c>
      <c r="C33" s="10" t="s">
        <v>13</v>
      </c>
      <c r="D33" s="11" t="s">
        <v>14</v>
      </c>
      <c r="E33" s="11" t="s">
        <v>15</v>
      </c>
      <c r="F33" s="11" t="s">
        <v>16</v>
      </c>
      <c r="G33" s="3"/>
      <c r="H33" s="9" t="s">
        <v>12</v>
      </c>
      <c r="I33" s="10" t="s">
        <v>13</v>
      </c>
      <c r="J33" s="11" t="s">
        <v>14</v>
      </c>
      <c r="K33" s="11" t="s">
        <v>15</v>
      </c>
      <c r="L33" s="11" t="s">
        <v>16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2" t="s">
        <v>17</v>
      </c>
      <c r="C34" s="23">
        <v>583.75</v>
      </c>
      <c r="D34" s="23">
        <v>71.0</v>
      </c>
      <c r="E34" s="23">
        <v>38.0</v>
      </c>
      <c r="F34" s="23">
        <v>33.0</v>
      </c>
      <c r="G34" s="18"/>
      <c r="H34" s="22" t="s">
        <v>17</v>
      </c>
      <c r="I34" s="23">
        <v>-700.4</v>
      </c>
      <c r="J34" s="23">
        <v>75.0</v>
      </c>
      <c r="K34" s="23">
        <v>33.0</v>
      </c>
      <c r="L34" s="23">
        <f t="shared" ref="L34:L44" si="7">J34-K34</f>
        <v>42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2" t="s">
        <v>18</v>
      </c>
      <c r="C35" s="23">
        <v>-180.34</v>
      </c>
      <c r="D35" s="23">
        <v>73.0</v>
      </c>
      <c r="E35" s="23">
        <v>36.0</v>
      </c>
      <c r="F35" s="23">
        <v>37.0</v>
      </c>
      <c r="G35" s="18"/>
      <c r="H35" s="22" t="s">
        <v>18</v>
      </c>
      <c r="I35" s="23">
        <v>-455.2</v>
      </c>
      <c r="J35" s="23">
        <v>75.0</v>
      </c>
      <c r="K35" s="23">
        <v>36.0</v>
      </c>
      <c r="L35" s="23">
        <f t="shared" si="7"/>
        <v>39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2" t="s">
        <v>19</v>
      </c>
      <c r="C36" s="23">
        <v>743.1</v>
      </c>
      <c r="D36" s="23">
        <v>67.0</v>
      </c>
      <c r="E36" s="23">
        <v>33.0</v>
      </c>
      <c r="F36" s="23">
        <v>34.0</v>
      </c>
      <c r="G36" s="18"/>
      <c r="H36" s="22" t="s">
        <v>19</v>
      </c>
      <c r="I36" s="23">
        <v>-332.6</v>
      </c>
      <c r="J36" s="23">
        <v>75.0</v>
      </c>
      <c r="K36" s="23">
        <v>42.0</v>
      </c>
      <c r="L36" s="23">
        <f t="shared" si="7"/>
        <v>33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2" t="s">
        <v>20</v>
      </c>
      <c r="C37" s="23">
        <v>-2610.19</v>
      </c>
      <c r="D37" s="23">
        <v>82.0</v>
      </c>
      <c r="E37" s="23">
        <v>35.0</v>
      </c>
      <c r="F37" s="23">
        <v>47.0</v>
      </c>
      <c r="G37" s="18"/>
      <c r="H37" s="22" t="s">
        <v>20</v>
      </c>
      <c r="I37" s="23">
        <v>2013.63</v>
      </c>
      <c r="J37" s="23">
        <v>79.0</v>
      </c>
      <c r="K37" s="23">
        <v>44.0</v>
      </c>
      <c r="L37" s="23">
        <f t="shared" si="7"/>
        <v>35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2" t="s">
        <v>21</v>
      </c>
      <c r="C38" s="23">
        <v>2557.75</v>
      </c>
      <c r="D38" s="23">
        <v>76.0</v>
      </c>
      <c r="E38" s="23">
        <v>39.0</v>
      </c>
      <c r="F38" s="23">
        <v>37.0</v>
      </c>
      <c r="G38" s="18"/>
      <c r="H38" s="22" t="s">
        <v>21</v>
      </c>
      <c r="I38" s="23">
        <v>-4123.5</v>
      </c>
      <c r="J38" s="23">
        <v>91.0</v>
      </c>
      <c r="K38" s="23">
        <v>36.0</v>
      </c>
      <c r="L38" s="23">
        <f t="shared" si="7"/>
        <v>55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2" t="s">
        <v>22</v>
      </c>
      <c r="C39" s="23">
        <v>977.9</v>
      </c>
      <c r="D39" s="23">
        <v>99.0</v>
      </c>
      <c r="E39" s="23">
        <v>45.0</v>
      </c>
      <c r="F39" s="23">
        <v>54.0</v>
      </c>
      <c r="G39" s="18"/>
      <c r="H39" s="22" t="s">
        <v>22</v>
      </c>
      <c r="I39" s="23">
        <v>-776.7</v>
      </c>
      <c r="J39" s="23">
        <v>95.0</v>
      </c>
      <c r="K39" s="23">
        <v>43.0</v>
      </c>
      <c r="L39" s="23">
        <f t="shared" si="7"/>
        <v>52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2" t="s">
        <v>23</v>
      </c>
      <c r="C40" s="23">
        <v>318.95</v>
      </c>
      <c r="D40" s="23">
        <v>65.0</v>
      </c>
      <c r="E40" s="23">
        <v>31.0</v>
      </c>
      <c r="F40" s="23">
        <v>34.0</v>
      </c>
      <c r="G40" s="18"/>
      <c r="H40" s="22" t="s">
        <v>23</v>
      </c>
      <c r="I40" s="23">
        <v>-810.15</v>
      </c>
      <c r="J40" s="23">
        <v>67.0</v>
      </c>
      <c r="K40" s="23">
        <v>29.0</v>
      </c>
      <c r="L40" s="23">
        <f t="shared" si="7"/>
        <v>38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2" t="s">
        <v>24</v>
      </c>
      <c r="C41" s="23">
        <v>129.0</v>
      </c>
      <c r="D41" s="23">
        <v>85.0</v>
      </c>
      <c r="E41" s="23">
        <v>38.0</v>
      </c>
      <c r="F41" s="23">
        <v>47.0</v>
      </c>
      <c r="G41" s="18"/>
      <c r="H41" s="22" t="s">
        <v>24</v>
      </c>
      <c r="I41" s="23">
        <v>-1802.37</v>
      </c>
      <c r="J41" s="23">
        <v>84.0</v>
      </c>
      <c r="K41" s="23">
        <v>32.0</v>
      </c>
      <c r="L41" s="23">
        <f t="shared" si="7"/>
        <v>52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2" t="s">
        <v>25</v>
      </c>
      <c r="C42" s="23">
        <v>-173.89</v>
      </c>
      <c r="D42" s="23">
        <v>96.0</v>
      </c>
      <c r="E42" s="23">
        <v>40.0</v>
      </c>
      <c r="F42" s="23">
        <v>56.0</v>
      </c>
      <c r="G42" s="18"/>
      <c r="H42" s="22" t="s">
        <v>25</v>
      </c>
      <c r="I42" s="23">
        <v>-412.55</v>
      </c>
      <c r="J42" s="23">
        <v>94.0</v>
      </c>
      <c r="K42" s="23">
        <v>46.0</v>
      </c>
      <c r="L42" s="23">
        <f t="shared" si="7"/>
        <v>48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2" t="s">
        <v>26</v>
      </c>
      <c r="C43" s="23">
        <v>426.55</v>
      </c>
      <c r="D43" s="23">
        <v>92.0</v>
      </c>
      <c r="E43" s="23">
        <v>47.0</v>
      </c>
      <c r="F43" s="23">
        <v>45.0</v>
      </c>
      <c r="G43" s="18"/>
      <c r="H43" s="22" t="s">
        <v>26</v>
      </c>
      <c r="I43" s="23">
        <v>-2320.7</v>
      </c>
      <c r="J43" s="23">
        <v>94.0</v>
      </c>
      <c r="K43" s="23">
        <v>41.0</v>
      </c>
      <c r="L43" s="23">
        <f t="shared" si="7"/>
        <v>53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2" t="s">
        <v>27</v>
      </c>
      <c r="C44" s="23">
        <v>2791.95</v>
      </c>
      <c r="D44" s="23">
        <v>79.0</v>
      </c>
      <c r="E44" s="23">
        <v>43.0</v>
      </c>
      <c r="F44" s="23">
        <v>36.0</v>
      </c>
      <c r="G44" s="18"/>
      <c r="H44" s="22" t="s">
        <v>27</v>
      </c>
      <c r="I44" s="23">
        <v>-2734.23</v>
      </c>
      <c r="J44" s="23">
        <v>86.0</v>
      </c>
      <c r="K44" s="23">
        <v>34.0</v>
      </c>
      <c r="L44" s="23">
        <f t="shared" si="7"/>
        <v>52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3"/>
      <c r="B45" s="3"/>
      <c r="C45" s="3"/>
      <c r="D45" s="3">
        <f t="shared" ref="D45:F45" si="8">SUM(D34:D44)</f>
        <v>885</v>
      </c>
      <c r="E45" s="3">
        <f t="shared" si="8"/>
        <v>425</v>
      </c>
      <c r="F45" s="3">
        <f t="shared" si="8"/>
        <v>460</v>
      </c>
      <c r="G45" s="3"/>
      <c r="H45" s="3"/>
      <c r="I45" s="3"/>
      <c r="J45" s="3">
        <f t="shared" ref="J45:L45" si="9">SUM(J34:J44)</f>
        <v>915</v>
      </c>
      <c r="K45" s="3">
        <f t="shared" si="9"/>
        <v>416</v>
      </c>
      <c r="L45" s="3">
        <f t="shared" si="9"/>
        <v>499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/>
      <c r="B46" s="8" t="s">
        <v>30</v>
      </c>
      <c r="C46" s="18"/>
      <c r="D46" s="18"/>
      <c r="E46" s="18"/>
      <c r="F46" s="18"/>
      <c r="G46" s="18"/>
      <c r="H46" s="8" t="s">
        <v>30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9" t="s">
        <v>12</v>
      </c>
      <c r="C47" s="10" t="s">
        <v>13</v>
      </c>
      <c r="D47" s="11" t="s">
        <v>14</v>
      </c>
      <c r="E47" s="11" t="s">
        <v>15</v>
      </c>
      <c r="F47" s="11" t="s">
        <v>16</v>
      </c>
      <c r="G47" s="3"/>
      <c r="H47" s="9" t="s">
        <v>12</v>
      </c>
      <c r="I47" s="10" t="s">
        <v>13</v>
      </c>
      <c r="J47" s="11" t="s">
        <v>14</v>
      </c>
      <c r="K47" s="11" t="s">
        <v>15</v>
      </c>
      <c r="L47" s="11" t="s">
        <v>16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2" t="s">
        <v>17</v>
      </c>
      <c r="C48" s="23">
        <v>-3305.59</v>
      </c>
      <c r="D48" s="23">
        <v>89.0</v>
      </c>
      <c r="E48" s="23">
        <v>32.0</v>
      </c>
      <c r="F48" s="23">
        <v>57.0</v>
      </c>
      <c r="G48" s="18"/>
      <c r="H48" s="18" t="s">
        <v>17</v>
      </c>
      <c r="I48" s="23">
        <v>2160.84</v>
      </c>
      <c r="J48" s="23">
        <v>73.0</v>
      </c>
      <c r="K48" s="23">
        <v>44.0</v>
      </c>
      <c r="L48" s="23">
        <v>29.0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2" t="s">
        <v>18</v>
      </c>
      <c r="C49" s="23">
        <v>-2229.19</v>
      </c>
      <c r="D49" s="23">
        <v>92.0</v>
      </c>
      <c r="E49" s="23">
        <v>34.0</v>
      </c>
      <c r="F49" s="23">
        <v>58.0</v>
      </c>
      <c r="G49" s="18"/>
      <c r="H49" s="18" t="s">
        <v>18</v>
      </c>
      <c r="I49" s="23">
        <v>2357.84</v>
      </c>
      <c r="J49" s="23">
        <v>84.0</v>
      </c>
      <c r="K49" s="23">
        <v>46.0</v>
      </c>
      <c r="L49" s="23">
        <v>38.0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2" t="s">
        <v>19</v>
      </c>
      <c r="C50" s="23">
        <v>353.85</v>
      </c>
      <c r="D50" s="23">
        <v>87.0</v>
      </c>
      <c r="E50" s="23">
        <v>38.0</v>
      </c>
      <c r="F50" s="23">
        <v>49.0</v>
      </c>
      <c r="G50" s="18"/>
      <c r="H50" s="18" t="s">
        <v>19</v>
      </c>
      <c r="I50" s="23">
        <v>-794.3</v>
      </c>
      <c r="J50" s="23">
        <v>79.0</v>
      </c>
      <c r="K50" s="23">
        <v>32.0</v>
      </c>
      <c r="L50" s="23">
        <v>47.0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2" t="s">
        <v>20</v>
      </c>
      <c r="C51" s="23">
        <v>-2392.7</v>
      </c>
      <c r="D51" s="23">
        <v>94.0</v>
      </c>
      <c r="E51" s="23">
        <v>40.0</v>
      </c>
      <c r="F51" s="23">
        <v>54.0</v>
      </c>
      <c r="G51" s="18"/>
      <c r="H51" s="18" t="s">
        <v>20</v>
      </c>
      <c r="I51" s="23">
        <v>365.47</v>
      </c>
      <c r="J51" s="23">
        <v>90.0</v>
      </c>
      <c r="K51" s="23">
        <v>46.0</v>
      </c>
      <c r="L51" s="23">
        <v>44.0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2" t="s">
        <v>21</v>
      </c>
      <c r="C52" s="23">
        <v>44.3</v>
      </c>
      <c r="D52" s="23">
        <v>95.0</v>
      </c>
      <c r="E52" s="23">
        <v>40.0</v>
      </c>
      <c r="F52" s="23">
        <v>55.0</v>
      </c>
      <c r="G52" s="18"/>
      <c r="H52" s="18" t="s">
        <v>21</v>
      </c>
      <c r="I52" s="23">
        <v>-460.35</v>
      </c>
      <c r="J52" s="23">
        <v>95.0</v>
      </c>
      <c r="K52" s="23">
        <v>36.0</v>
      </c>
      <c r="L52" s="23">
        <v>59.0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2" t="s">
        <v>22</v>
      </c>
      <c r="C53" s="23">
        <v>-1900.14</v>
      </c>
      <c r="D53" s="23">
        <v>105.0</v>
      </c>
      <c r="E53" s="23">
        <v>43.0</v>
      </c>
      <c r="F53" s="23">
        <v>62.0</v>
      </c>
      <c r="G53" s="18"/>
      <c r="H53" s="18" t="s">
        <v>22</v>
      </c>
      <c r="I53" s="23">
        <v>946.49</v>
      </c>
      <c r="J53" s="23">
        <v>99.0</v>
      </c>
      <c r="K53" s="23">
        <v>47.0</v>
      </c>
      <c r="L53" s="23">
        <v>52.0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2" t="s">
        <v>23</v>
      </c>
      <c r="C54" s="23">
        <v>164.05</v>
      </c>
      <c r="D54" s="23">
        <v>74.0</v>
      </c>
      <c r="E54" s="23">
        <v>35.0</v>
      </c>
      <c r="F54" s="23">
        <v>39.0</v>
      </c>
      <c r="G54" s="18"/>
      <c r="H54" s="18" t="s">
        <v>23</v>
      </c>
      <c r="I54" s="23">
        <v>-124.9</v>
      </c>
      <c r="J54" s="23">
        <v>34.0</v>
      </c>
      <c r="K54" s="23">
        <v>76.0</v>
      </c>
      <c r="L54" s="23">
        <v>-42.0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2" t="s">
        <v>24</v>
      </c>
      <c r="C55" s="23">
        <v>1237.5</v>
      </c>
      <c r="D55" s="23">
        <v>96.0</v>
      </c>
      <c r="E55" s="23">
        <v>44.0</v>
      </c>
      <c r="F55" s="23">
        <v>52.0</v>
      </c>
      <c r="G55" s="18"/>
      <c r="H55" s="18" t="s">
        <v>24</v>
      </c>
      <c r="I55" s="23">
        <v>-1538.95</v>
      </c>
      <c r="J55" s="23">
        <v>99.0</v>
      </c>
      <c r="K55" s="23">
        <v>41.0</v>
      </c>
      <c r="L55" s="23">
        <v>58.0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2" t="s">
        <v>25</v>
      </c>
      <c r="C56" s="23">
        <v>-2300.29</v>
      </c>
      <c r="D56" s="23">
        <v>105.0</v>
      </c>
      <c r="E56" s="23">
        <v>43.0</v>
      </c>
      <c r="F56" s="23">
        <v>62.0</v>
      </c>
      <c r="G56" s="18"/>
      <c r="H56" s="18" t="s">
        <v>25</v>
      </c>
      <c r="I56" s="23">
        <v>-8.2</v>
      </c>
      <c r="J56" s="23">
        <v>41.0</v>
      </c>
      <c r="K56" s="23">
        <v>98.0</v>
      </c>
      <c r="L56" s="23">
        <v>-57.0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2" t="s">
        <v>26</v>
      </c>
      <c r="C57" s="23">
        <v>899.47</v>
      </c>
      <c r="D57" s="23">
        <v>104.0</v>
      </c>
      <c r="E57" s="23">
        <v>46.0</v>
      </c>
      <c r="F57" s="23">
        <v>58.0</v>
      </c>
      <c r="G57" s="18"/>
      <c r="H57" s="18" t="s">
        <v>26</v>
      </c>
      <c r="I57" s="23">
        <v>-4537.35</v>
      </c>
      <c r="J57" s="23">
        <v>121.0</v>
      </c>
      <c r="K57" s="23">
        <v>42.0</v>
      </c>
      <c r="L57" s="23">
        <v>79.0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2" t="s">
        <v>27</v>
      </c>
      <c r="C58" s="23">
        <v>-1528.14</v>
      </c>
      <c r="D58" s="23">
        <v>93.0</v>
      </c>
      <c r="E58" s="23">
        <v>40.0</v>
      </c>
      <c r="F58" s="23">
        <v>53.0</v>
      </c>
      <c r="G58" s="18"/>
      <c r="H58" s="18" t="s">
        <v>27</v>
      </c>
      <c r="I58" s="23">
        <v>715.69</v>
      </c>
      <c r="J58" s="23">
        <v>86.0</v>
      </c>
      <c r="K58" s="23">
        <v>41.0</v>
      </c>
      <c r="L58" s="23">
        <v>45.0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3"/>
      <c r="B59" s="3"/>
      <c r="C59" s="3"/>
      <c r="D59" s="3">
        <f t="shared" ref="D59:F59" si="10">SUM(D48:D58)</f>
        <v>1034</v>
      </c>
      <c r="E59" s="3">
        <f t="shared" si="10"/>
        <v>435</v>
      </c>
      <c r="F59" s="3">
        <f t="shared" si="10"/>
        <v>599</v>
      </c>
      <c r="G59" s="3"/>
      <c r="H59" s="3"/>
      <c r="I59" s="3"/>
      <c r="J59" s="3">
        <f t="shared" ref="J59:L59" si="11">SUM(J48:J58)</f>
        <v>901</v>
      </c>
      <c r="K59" s="3">
        <f t="shared" si="11"/>
        <v>549</v>
      </c>
      <c r="L59" s="3">
        <f t="shared" si="11"/>
        <v>352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3"/>
      <c r="B60" s="3"/>
      <c r="C60" s="15" t="s">
        <v>31</v>
      </c>
      <c r="D60" s="3">
        <f t="shared" ref="D60:F60" si="12">D59+D45+D31+D17</f>
        <v>3836</v>
      </c>
      <c r="E60" s="3">
        <f t="shared" si="12"/>
        <v>1717</v>
      </c>
      <c r="F60" s="3">
        <f t="shared" si="12"/>
        <v>2119</v>
      </c>
      <c r="G60" s="3"/>
      <c r="H60" s="3"/>
      <c r="I60" s="15" t="s">
        <v>32</v>
      </c>
      <c r="J60" s="3">
        <f t="shared" ref="J60:L60" si="13">J59+J45+J31+J17</f>
        <v>3259</v>
      </c>
      <c r="K60" s="3">
        <f t="shared" si="13"/>
        <v>1672</v>
      </c>
      <c r="L60" s="3">
        <f t="shared" si="13"/>
        <v>1587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3"/>
      <c r="B61" s="3"/>
      <c r="C61" s="15" t="s">
        <v>33</v>
      </c>
      <c r="D61" s="3">
        <f t="shared" ref="D61:F61" si="14">D60+J60</f>
        <v>7095</v>
      </c>
      <c r="E61" s="3">
        <f t="shared" si="14"/>
        <v>3389</v>
      </c>
      <c r="F61" s="3">
        <f t="shared" si="14"/>
        <v>3706</v>
      </c>
      <c r="G61" s="3"/>
      <c r="H61" s="3"/>
      <c r="I61" s="3"/>
      <c r="J61" s="3"/>
      <c r="K61" s="3"/>
      <c r="L61" s="3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3"/>
      <c r="B62" s="3"/>
      <c r="C62" s="15" t="s">
        <v>34</v>
      </c>
      <c r="D62" s="16">
        <f>E61/D61</f>
        <v>0.4776603242</v>
      </c>
      <c r="E62" s="3"/>
      <c r="F62" s="3"/>
      <c r="G62" s="3"/>
      <c r="H62" s="3"/>
      <c r="I62" s="3"/>
      <c r="J62" s="3"/>
      <c r="K62" s="3"/>
      <c r="L62" s="3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3"/>
      <c r="B63" s="3"/>
      <c r="C63" s="15" t="s">
        <v>35</v>
      </c>
      <c r="D63" s="17">
        <f>1-D62</f>
        <v>0.5223396758</v>
      </c>
      <c r="E63" s="3"/>
      <c r="F63" s="3"/>
      <c r="G63" s="3"/>
      <c r="H63" s="3"/>
      <c r="I63" s="3"/>
      <c r="J63" s="3"/>
      <c r="K63" s="3"/>
      <c r="L63" s="3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B1:L1"/>
    <mergeCell ref="B3:F3"/>
    <mergeCell ref="H3:L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7.63"/>
    <col customWidth="1" min="6" max="6" width="14.25"/>
    <col customWidth="1" min="10" max="10" width="19.0"/>
    <col customWidth="1" min="11" max="11" width="13.38"/>
    <col customWidth="1" min="12" max="12" width="14.0"/>
  </cols>
  <sheetData>
    <row r="1">
      <c r="A1" s="3"/>
      <c r="B1" s="4" t="s">
        <v>8</v>
      </c>
      <c r="C1" s="5"/>
      <c r="D1" s="5"/>
      <c r="E1" s="5"/>
      <c r="F1" s="5"/>
      <c r="G1" s="5"/>
      <c r="H1" s="5"/>
      <c r="I1" s="5"/>
      <c r="J1" s="5"/>
      <c r="K1" s="5"/>
      <c r="L1" s="6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7" t="s">
        <v>9</v>
      </c>
      <c r="C3" s="5"/>
      <c r="D3" s="5"/>
      <c r="E3" s="5"/>
      <c r="F3" s="6"/>
      <c r="G3" s="3"/>
      <c r="H3" s="7" t="s">
        <v>10</v>
      </c>
      <c r="I3" s="5"/>
      <c r="J3" s="5"/>
      <c r="K3" s="5"/>
      <c r="L3" s="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8" t="s">
        <v>11</v>
      </c>
      <c r="C4" s="3"/>
      <c r="D4" s="3"/>
      <c r="E4" s="3"/>
      <c r="F4" s="3"/>
      <c r="G4" s="3"/>
      <c r="H4" s="8" t="s">
        <v>11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9" t="s">
        <v>12</v>
      </c>
      <c r="C5" s="10" t="s">
        <v>13</v>
      </c>
      <c r="D5" s="11" t="s">
        <v>14</v>
      </c>
      <c r="E5" s="11" t="s">
        <v>15</v>
      </c>
      <c r="F5" s="11" t="s">
        <v>16</v>
      </c>
      <c r="G5" s="3"/>
      <c r="H5" s="9" t="s">
        <v>12</v>
      </c>
      <c r="I5" s="10" t="s">
        <v>13</v>
      </c>
      <c r="J5" s="11" t="s">
        <v>14</v>
      </c>
      <c r="K5" s="11" t="s">
        <v>15</v>
      </c>
      <c r="L5" s="11" t="s">
        <v>16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"/>
      <c r="B6" s="3" t="s">
        <v>17</v>
      </c>
      <c r="C6" s="13">
        <v>-666.9</v>
      </c>
      <c r="D6" s="13">
        <v>29.0</v>
      </c>
      <c r="E6" s="13">
        <v>13.0</v>
      </c>
      <c r="F6" s="13">
        <f t="shared" ref="F6:F16" si="1">D6-E6</f>
        <v>16</v>
      </c>
      <c r="G6" s="3"/>
      <c r="H6" s="3" t="s">
        <v>17</v>
      </c>
      <c r="I6" s="13">
        <v>-297.85</v>
      </c>
      <c r="J6" s="13">
        <v>47.0</v>
      </c>
      <c r="K6" s="13">
        <v>26.0</v>
      </c>
      <c r="L6" s="13">
        <f t="shared" ref="L6:L16" si="2">J6-K6</f>
        <v>21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"/>
      <c r="B7" s="3" t="s">
        <v>18</v>
      </c>
      <c r="C7" s="13">
        <v>1022.96</v>
      </c>
      <c r="D7" s="13">
        <v>41.0</v>
      </c>
      <c r="E7" s="13">
        <v>20.0</v>
      </c>
      <c r="F7" s="13">
        <f t="shared" si="1"/>
        <v>21</v>
      </c>
      <c r="G7" s="3"/>
      <c r="H7" s="3" t="s">
        <v>18</v>
      </c>
      <c r="I7" s="13">
        <v>63.94</v>
      </c>
      <c r="J7" s="13">
        <v>50.0</v>
      </c>
      <c r="K7" s="13">
        <v>26.0</v>
      </c>
      <c r="L7" s="13">
        <f t="shared" si="2"/>
        <v>24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/>
      <c r="B8" s="3" t="s">
        <v>19</v>
      </c>
      <c r="C8" s="13">
        <v>1037.6</v>
      </c>
      <c r="D8" s="13">
        <v>39.0</v>
      </c>
      <c r="E8" s="13">
        <v>20.0</v>
      </c>
      <c r="F8" s="13">
        <f t="shared" si="1"/>
        <v>19</v>
      </c>
      <c r="G8" s="3"/>
      <c r="H8" s="3" t="s">
        <v>19</v>
      </c>
      <c r="I8" s="13">
        <v>250.29</v>
      </c>
      <c r="J8" s="13">
        <v>40.0</v>
      </c>
      <c r="K8" s="13">
        <v>23.0</v>
      </c>
      <c r="L8" s="13">
        <f t="shared" si="2"/>
        <v>17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3" t="s">
        <v>20</v>
      </c>
      <c r="C9" s="13">
        <v>44.98</v>
      </c>
      <c r="D9" s="13">
        <v>41.0</v>
      </c>
      <c r="E9" s="13">
        <v>16.0</v>
      </c>
      <c r="F9" s="13">
        <f t="shared" si="1"/>
        <v>25</v>
      </c>
      <c r="G9" s="3"/>
      <c r="H9" s="3" t="s">
        <v>20</v>
      </c>
      <c r="I9" s="13">
        <v>304.58</v>
      </c>
      <c r="J9" s="13">
        <v>50.0</v>
      </c>
      <c r="K9" s="13">
        <v>21.0</v>
      </c>
      <c r="L9" s="13">
        <f t="shared" si="2"/>
        <v>29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"/>
      <c r="B10" s="3" t="s">
        <v>21</v>
      </c>
      <c r="C10" s="13">
        <v>-327.45</v>
      </c>
      <c r="D10" s="13">
        <v>33.0</v>
      </c>
      <c r="E10" s="13">
        <v>12.0</v>
      </c>
      <c r="F10" s="13">
        <f t="shared" si="1"/>
        <v>21</v>
      </c>
      <c r="G10" s="3"/>
      <c r="H10" s="3" t="s">
        <v>21</v>
      </c>
      <c r="I10" s="13">
        <v>-1483.1</v>
      </c>
      <c r="J10" s="13">
        <v>57.0</v>
      </c>
      <c r="K10" s="13">
        <v>24.0</v>
      </c>
      <c r="L10" s="13">
        <f t="shared" si="2"/>
        <v>33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/>
      <c r="B11" s="3" t="s">
        <v>22</v>
      </c>
      <c r="C11" s="13">
        <v>233.6</v>
      </c>
      <c r="D11" s="13">
        <v>36.0</v>
      </c>
      <c r="E11" s="13">
        <v>14.0</v>
      </c>
      <c r="F11" s="13">
        <f t="shared" si="1"/>
        <v>22</v>
      </c>
      <c r="G11" s="3"/>
      <c r="H11" s="3" t="s">
        <v>22</v>
      </c>
      <c r="I11" s="13">
        <v>892.9</v>
      </c>
      <c r="J11" s="13">
        <v>49.0</v>
      </c>
      <c r="K11" s="13">
        <v>23.0</v>
      </c>
      <c r="L11" s="13">
        <f t="shared" si="2"/>
        <v>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4"/>
      <c r="B12" s="3" t="s">
        <v>23</v>
      </c>
      <c r="C12" s="13">
        <v>267.25</v>
      </c>
      <c r="D12" s="13">
        <v>34.0</v>
      </c>
      <c r="E12" s="13">
        <v>18.0</v>
      </c>
      <c r="F12" s="13">
        <f t="shared" si="1"/>
        <v>16</v>
      </c>
      <c r="G12" s="3"/>
      <c r="H12" s="3" t="s">
        <v>23</v>
      </c>
      <c r="I12" s="13">
        <v>285.45</v>
      </c>
      <c r="J12" s="13">
        <v>42.0</v>
      </c>
      <c r="K12" s="13">
        <v>24.0</v>
      </c>
      <c r="L12" s="13">
        <f t="shared" si="2"/>
        <v>18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3" t="s">
        <v>24</v>
      </c>
      <c r="C13" s="13">
        <v>606.15</v>
      </c>
      <c r="D13" s="13">
        <v>36.0</v>
      </c>
      <c r="E13" s="13">
        <v>19.0</v>
      </c>
      <c r="F13" s="13">
        <f t="shared" si="1"/>
        <v>17</v>
      </c>
      <c r="G13" s="3"/>
      <c r="H13" s="3" t="s">
        <v>24</v>
      </c>
      <c r="I13" s="13">
        <v>-1019.94</v>
      </c>
      <c r="J13" s="13">
        <v>51.0</v>
      </c>
      <c r="K13" s="13">
        <v>24.0</v>
      </c>
      <c r="L13" s="13">
        <f t="shared" si="2"/>
        <v>27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4"/>
      <c r="B14" s="3" t="s">
        <v>25</v>
      </c>
      <c r="C14" s="13">
        <v>-1191.36</v>
      </c>
      <c r="D14" s="13">
        <v>38.0</v>
      </c>
      <c r="E14" s="13">
        <v>15.0</v>
      </c>
      <c r="F14" s="13">
        <f t="shared" si="1"/>
        <v>23</v>
      </c>
      <c r="G14" s="3"/>
      <c r="H14" s="3" t="s">
        <v>25</v>
      </c>
      <c r="I14" s="13">
        <v>-486.61</v>
      </c>
      <c r="J14" s="13">
        <v>49.0</v>
      </c>
      <c r="K14" s="13">
        <v>21.0</v>
      </c>
      <c r="L14" s="13">
        <f t="shared" si="2"/>
        <v>28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/>
      <c r="B15" s="3" t="s">
        <v>26</v>
      </c>
      <c r="C15" s="13">
        <v>575.86</v>
      </c>
      <c r="D15" s="13">
        <v>37.0</v>
      </c>
      <c r="E15" s="13">
        <v>17.0</v>
      </c>
      <c r="F15" s="13">
        <f t="shared" si="1"/>
        <v>20</v>
      </c>
      <c r="G15" s="3"/>
      <c r="H15" s="3" t="s">
        <v>26</v>
      </c>
      <c r="I15" s="13">
        <v>-493.67</v>
      </c>
      <c r="J15" s="13">
        <v>58.0</v>
      </c>
      <c r="K15" s="13">
        <v>27.0</v>
      </c>
      <c r="L15" s="13">
        <f t="shared" si="2"/>
        <v>31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 t="s">
        <v>27</v>
      </c>
      <c r="C16" s="13">
        <v>734.6</v>
      </c>
      <c r="D16" s="13">
        <v>43.0</v>
      </c>
      <c r="E16" s="13">
        <v>21.0</v>
      </c>
      <c r="F16" s="13">
        <f t="shared" si="1"/>
        <v>22</v>
      </c>
      <c r="G16" s="3"/>
      <c r="H16" s="3" t="s">
        <v>27</v>
      </c>
      <c r="I16" s="13">
        <v>581.93</v>
      </c>
      <c r="J16" s="13">
        <v>54.0</v>
      </c>
      <c r="K16" s="13">
        <v>27.0</v>
      </c>
      <c r="L16" s="13">
        <f t="shared" si="2"/>
        <v>27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>
        <f t="shared" ref="D17:F17" si="3">SUM(D6:D16)</f>
        <v>407</v>
      </c>
      <c r="E17" s="3">
        <f t="shared" si="3"/>
        <v>185</v>
      </c>
      <c r="F17" s="3">
        <f t="shared" si="3"/>
        <v>222</v>
      </c>
      <c r="G17" s="3"/>
      <c r="H17" s="3"/>
      <c r="I17" s="3"/>
      <c r="J17" s="3">
        <f t="shared" ref="J17:L17" si="4">SUM(J6:J16)</f>
        <v>547</v>
      </c>
      <c r="K17" s="3">
        <f t="shared" si="4"/>
        <v>266</v>
      </c>
      <c r="L17" s="3">
        <f t="shared" si="4"/>
        <v>281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8" t="s">
        <v>28</v>
      </c>
      <c r="C18" s="3"/>
      <c r="D18" s="3"/>
      <c r="E18" s="3"/>
      <c r="F18" s="3"/>
      <c r="G18" s="3"/>
      <c r="H18" s="8" t="s">
        <v>28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9" t="s">
        <v>12</v>
      </c>
      <c r="C19" s="10" t="s">
        <v>13</v>
      </c>
      <c r="D19" s="11" t="s">
        <v>14</v>
      </c>
      <c r="E19" s="11" t="s">
        <v>15</v>
      </c>
      <c r="F19" s="11" t="s">
        <v>16</v>
      </c>
      <c r="G19" s="3"/>
      <c r="H19" s="9" t="s">
        <v>12</v>
      </c>
      <c r="I19" s="10" t="s">
        <v>13</v>
      </c>
      <c r="J19" s="11" t="s">
        <v>14</v>
      </c>
      <c r="K19" s="11" t="s">
        <v>15</v>
      </c>
      <c r="L19" s="11" t="s">
        <v>16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 t="s">
        <v>17</v>
      </c>
      <c r="C20" s="13">
        <v>-312.4</v>
      </c>
      <c r="D20" s="13">
        <v>39.0</v>
      </c>
      <c r="E20" s="13">
        <v>15.0</v>
      </c>
      <c r="F20" s="13">
        <f t="shared" ref="F20:F30" si="5">D20-E20</f>
        <v>24</v>
      </c>
      <c r="G20" s="3"/>
      <c r="H20" s="3" t="s">
        <v>17</v>
      </c>
      <c r="I20" s="13">
        <v>66.5</v>
      </c>
      <c r="J20" s="13">
        <v>31.0</v>
      </c>
      <c r="K20" s="13">
        <v>20.0</v>
      </c>
      <c r="L20" s="13">
        <f t="shared" ref="L20:L30" si="6">J20-K20</f>
        <v>11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 t="s">
        <v>18</v>
      </c>
      <c r="C21" s="13">
        <v>90.35</v>
      </c>
      <c r="D21" s="13">
        <v>38.0</v>
      </c>
      <c r="E21" s="13">
        <v>21.0</v>
      </c>
      <c r="F21" s="13">
        <f t="shared" si="5"/>
        <v>17</v>
      </c>
      <c r="G21" s="3"/>
      <c r="H21" s="3" t="s">
        <v>18</v>
      </c>
      <c r="I21" s="13">
        <v>986.35</v>
      </c>
      <c r="J21" s="13">
        <v>36.0</v>
      </c>
      <c r="K21" s="13">
        <v>22.0</v>
      </c>
      <c r="L21" s="13">
        <f t="shared" si="6"/>
        <v>14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 t="s">
        <v>19</v>
      </c>
      <c r="C22" s="13">
        <v>-470.0</v>
      </c>
      <c r="D22" s="13">
        <v>39.0</v>
      </c>
      <c r="E22" s="13">
        <v>17.0</v>
      </c>
      <c r="F22" s="13">
        <f t="shared" si="5"/>
        <v>22</v>
      </c>
      <c r="G22" s="3"/>
      <c r="H22" s="3" t="s">
        <v>19</v>
      </c>
      <c r="I22" s="13">
        <v>1345.65</v>
      </c>
      <c r="J22" s="13">
        <v>36.0</v>
      </c>
      <c r="K22" s="13">
        <v>22.0</v>
      </c>
      <c r="L22" s="13">
        <f t="shared" si="6"/>
        <v>14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 t="s">
        <v>20</v>
      </c>
      <c r="C23" s="13">
        <v>310.31</v>
      </c>
      <c r="D23" s="13">
        <v>40.0</v>
      </c>
      <c r="E23" s="13">
        <v>20.0</v>
      </c>
      <c r="F23" s="13">
        <f t="shared" si="5"/>
        <v>20</v>
      </c>
      <c r="G23" s="3"/>
      <c r="H23" s="3" t="s">
        <v>20</v>
      </c>
      <c r="I23" s="13">
        <v>546.75</v>
      </c>
      <c r="J23" s="13">
        <v>47.0</v>
      </c>
      <c r="K23" s="13">
        <v>27.0</v>
      </c>
      <c r="L23" s="13">
        <f t="shared" si="6"/>
        <v>20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 t="s">
        <v>21</v>
      </c>
      <c r="C24" s="13">
        <v>-221.4</v>
      </c>
      <c r="D24" s="13">
        <v>56.0</v>
      </c>
      <c r="E24" s="13">
        <v>22.0</v>
      </c>
      <c r="F24" s="13">
        <f t="shared" si="5"/>
        <v>34</v>
      </c>
      <c r="G24" s="3"/>
      <c r="H24" s="3" t="s">
        <v>21</v>
      </c>
      <c r="I24" s="13">
        <v>243.15</v>
      </c>
      <c r="J24" s="13">
        <v>47.0</v>
      </c>
      <c r="K24" s="13">
        <v>21.0</v>
      </c>
      <c r="L24" s="13">
        <f t="shared" si="6"/>
        <v>26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 t="s">
        <v>22</v>
      </c>
      <c r="C25" s="13">
        <v>-854.15</v>
      </c>
      <c r="D25" s="13">
        <v>54.0</v>
      </c>
      <c r="E25" s="13">
        <v>20.0</v>
      </c>
      <c r="F25" s="13">
        <f t="shared" si="5"/>
        <v>34</v>
      </c>
      <c r="G25" s="3"/>
      <c r="H25" s="3" t="s">
        <v>22</v>
      </c>
      <c r="I25" s="13">
        <v>1451.05</v>
      </c>
      <c r="J25" s="13">
        <v>38.0</v>
      </c>
      <c r="K25" s="13">
        <v>22.0</v>
      </c>
      <c r="L25" s="13">
        <f t="shared" si="6"/>
        <v>16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 t="s">
        <v>23</v>
      </c>
      <c r="C26" s="13">
        <v>470.85</v>
      </c>
      <c r="D26" s="13">
        <v>37.0</v>
      </c>
      <c r="E26" s="13">
        <v>21.0</v>
      </c>
      <c r="F26" s="13">
        <f t="shared" si="5"/>
        <v>16</v>
      </c>
      <c r="G26" s="3"/>
      <c r="H26" s="3" t="s">
        <v>23</v>
      </c>
      <c r="I26" s="13">
        <v>553.25</v>
      </c>
      <c r="J26" s="13">
        <v>32.0</v>
      </c>
      <c r="K26" s="13">
        <v>20.0</v>
      </c>
      <c r="L26" s="13">
        <f t="shared" si="6"/>
        <v>12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 t="s">
        <v>24</v>
      </c>
      <c r="C27" s="13">
        <v>-1052.69</v>
      </c>
      <c r="D27" s="13">
        <v>52.0</v>
      </c>
      <c r="E27" s="13">
        <v>19.0</v>
      </c>
      <c r="F27" s="13">
        <f t="shared" si="5"/>
        <v>33</v>
      </c>
      <c r="G27" s="3"/>
      <c r="H27" s="3" t="s">
        <v>24</v>
      </c>
      <c r="I27" s="13">
        <v>1408.1</v>
      </c>
      <c r="J27" s="13">
        <v>34.0</v>
      </c>
      <c r="K27" s="13">
        <v>19.0</v>
      </c>
      <c r="L27" s="13">
        <f t="shared" si="6"/>
        <v>15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 t="s">
        <v>25</v>
      </c>
      <c r="C28" s="13">
        <v>-674.23</v>
      </c>
      <c r="D28" s="13">
        <v>45.0</v>
      </c>
      <c r="E28" s="13">
        <v>18.0</v>
      </c>
      <c r="F28" s="13">
        <f t="shared" si="5"/>
        <v>27</v>
      </c>
      <c r="G28" s="3"/>
      <c r="H28" s="3" t="s">
        <v>25</v>
      </c>
      <c r="I28" s="13">
        <v>-61.87</v>
      </c>
      <c r="J28" s="13">
        <v>52.0</v>
      </c>
      <c r="K28" s="13">
        <v>23.0</v>
      </c>
      <c r="L28" s="13">
        <f t="shared" si="6"/>
        <v>29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 t="s">
        <v>26</v>
      </c>
      <c r="C29" s="13">
        <v>334.65</v>
      </c>
      <c r="D29" s="13">
        <v>43.0</v>
      </c>
      <c r="E29" s="13">
        <v>19.0</v>
      </c>
      <c r="F29" s="13">
        <f t="shared" si="5"/>
        <v>24</v>
      </c>
      <c r="G29" s="3"/>
      <c r="H29" s="3" t="s">
        <v>26</v>
      </c>
      <c r="I29" s="13">
        <v>26.13</v>
      </c>
      <c r="J29" s="13">
        <v>50.0</v>
      </c>
      <c r="K29" s="13">
        <v>19.0</v>
      </c>
      <c r="L29" s="13">
        <f t="shared" si="6"/>
        <v>31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 t="s">
        <v>27</v>
      </c>
      <c r="C30" s="13">
        <v>-1622.52</v>
      </c>
      <c r="D30" s="13">
        <v>43.0</v>
      </c>
      <c r="E30" s="13">
        <v>14.0</v>
      </c>
      <c r="F30" s="13">
        <f t="shared" si="5"/>
        <v>29</v>
      </c>
      <c r="G30" s="3"/>
      <c r="H30" s="3" t="s">
        <v>27</v>
      </c>
      <c r="I30" s="13">
        <v>227.4</v>
      </c>
      <c r="J30" s="13">
        <v>29.0</v>
      </c>
      <c r="K30" s="13">
        <v>17.0</v>
      </c>
      <c r="L30" s="13">
        <f t="shared" si="6"/>
        <v>12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>
        <f t="shared" ref="D31:F31" si="7">SUM(D20:D30)</f>
        <v>486</v>
      </c>
      <c r="E31" s="3">
        <f t="shared" si="7"/>
        <v>206</v>
      </c>
      <c r="F31" s="3">
        <f t="shared" si="7"/>
        <v>280</v>
      </c>
      <c r="G31" s="3"/>
      <c r="H31" s="3"/>
      <c r="I31" s="3"/>
      <c r="J31" s="3">
        <f t="shared" ref="J31:L31" si="8">SUM(J20:J30)</f>
        <v>432</v>
      </c>
      <c r="K31" s="3">
        <f t="shared" si="8"/>
        <v>232</v>
      </c>
      <c r="L31" s="3">
        <f t="shared" si="8"/>
        <v>200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8" t="s">
        <v>29</v>
      </c>
      <c r="C32" s="3"/>
      <c r="D32" s="3"/>
      <c r="E32" s="3"/>
      <c r="F32" s="3"/>
      <c r="G32" s="3"/>
      <c r="H32" s="8" t="s">
        <v>29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9" t="s">
        <v>12</v>
      </c>
      <c r="C33" s="10" t="s">
        <v>13</v>
      </c>
      <c r="D33" s="11" t="s">
        <v>14</v>
      </c>
      <c r="E33" s="11" t="s">
        <v>15</v>
      </c>
      <c r="F33" s="11" t="s">
        <v>16</v>
      </c>
      <c r="G33" s="3"/>
      <c r="H33" s="9" t="s">
        <v>12</v>
      </c>
      <c r="I33" s="10" t="s">
        <v>13</v>
      </c>
      <c r="J33" s="11" t="s">
        <v>14</v>
      </c>
      <c r="K33" s="11" t="s">
        <v>15</v>
      </c>
      <c r="L33" s="11" t="s">
        <v>16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 t="s">
        <v>17</v>
      </c>
      <c r="C34" s="13">
        <v>392.85</v>
      </c>
      <c r="D34" s="13">
        <v>33.0</v>
      </c>
      <c r="E34" s="13">
        <v>22.0</v>
      </c>
      <c r="F34" s="13">
        <f t="shared" ref="F34:F44" si="9">D34-E34</f>
        <v>11</v>
      </c>
      <c r="G34" s="3"/>
      <c r="H34" s="3" t="s">
        <v>17</v>
      </c>
      <c r="I34" s="13">
        <v>146.25</v>
      </c>
      <c r="J34" s="13">
        <v>34.0</v>
      </c>
      <c r="K34" s="13">
        <v>20.0</v>
      </c>
      <c r="L34" s="13">
        <f t="shared" ref="L34:L44" si="10">J34-K34</f>
        <v>14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 t="s">
        <v>18</v>
      </c>
      <c r="C35" s="13">
        <v>-499.04</v>
      </c>
      <c r="D35" s="13">
        <v>31.0</v>
      </c>
      <c r="E35" s="13">
        <v>15.0</v>
      </c>
      <c r="F35" s="13">
        <f t="shared" si="9"/>
        <v>16</v>
      </c>
      <c r="G35" s="3"/>
      <c r="H35" s="3" t="s">
        <v>18</v>
      </c>
      <c r="I35" s="13">
        <v>-277.5</v>
      </c>
      <c r="J35" s="13">
        <v>43.0</v>
      </c>
      <c r="K35" s="13">
        <v>22.0</v>
      </c>
      <c r="L35" s="13">
        <f t="shared" si="10"/>
        <v>21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 t="s">
        <v>19</v>
      </c>
      <c r="C36" s="13">
        <v>520.7</v>
      </c>
      <c r="D36" s="13">
        <v>31.0</v>
      </c>
      <c r="E36" s="13">
        <v>13.0</v>
      </c>
      <c r="F36" s="13">
        <f t="shared" si="9"/>
        <v>18</v>
      </c>
      <c r="G36" s="3"/>
      <c r="H36" s="3" t="s">
        <v>19</v>
      </c>
      <c r="I36" s="13">
        <v>326.1</v>
      </c>
      <c r="J36" s="13">
        <v>43.0</v>
      </c>
      <c r="K36" s="13">
        <v>25.0</v>
      </c>
      <c r="L36" s="13">
        <f t="shared" si="10"/>
        <v>18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 t="s">
        <v>20</v>
      </c>
      <c r="C37" s="13">
        <v>-1580.8</v>
      </c>
      <c r="D37" s="13">
        <v>49.0</v>
      </c>
      <c r="E37" s="13">
        <v>21.0</v>
      </c>
      <c r="F37" s="13">
        <f t="shared" si="9"/>
        <v>28</v>
      </c>
      <c r="G37" s="3"/>
      <c r="H37" s="3" t="s">
        <v>20</v>
      </c>
      <c r="I37" s="13">
        <v>805.21</v>
      </c>
      <c r="J37" s="13">
        <v>41.0</v>
      </c>
      <c r="K37" s="13">
        <v>24.0</v>
      </c>
      <c r="L37" s="13">
        <f t="shared" si="10"/>
        <v>17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 t="s">
        <v>21</v>
      </c>
      <c r="C38" s="13">
        <v>1157.35</v>
      </c>
      <c r="D38" s="13">
        <v>35.0</v>
      </c>
      <c r="E38" s="13">
        <v>19.0</v>
      </c>
      <c r="F38" s="13">
        <f t="shared" si="9"/>
        <v>16</v>
      </c>
      <c r="G38" s="3"/>
      <c r="H38" s="3" t="s">
        <v>21</v>
      </c>
      <c r="I38" s="13">
        <v>-860.05</v>
      </c>
      <c r="J38" s="13">
        <v>53.0</v>
      </c>
      <c r="K38" s="13">
        <v>24.0</v>
      </c>
      <c r="L38" s="13">
        <f t="shared" si="10"/>
        <v>29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 t="s">
        <v>22</v>
      </c>
      <c r="C39" s="13">
        <v>973.55</v>
      </c>
      <c r="D39" s="13">
        <v>38.0</v>
      </c>
      <c r="E39" s="13">
        <v>20.0</v>
      </c>
      <c r="F39" s="13">
        <f t="shared" si="9"/>
        <v>18</v>
      </c>
      <c r="G39" s="3"/>
      <c r="H39" s="3" t="s">
        <v>22</v>
      </c>
      <c r="I39" s="13">
        <v>-1748.9</v>
      </c>
      <c r="J39" s="13">
        <v>47.0</v>
      </c>
      <c r="K39" s="13">
        <v>19.0</v>
      </c>
      <c r="L39" s="13">
        <f t="shared" si="10"/>
        <v>28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 t="s">
        <v>23</v>
      </c>
      <c r="C40" s="13">
        <v>-902.29</v>
      </c>
      <c r="D40" s="13">
        <v>38.0</v>
      </c>
      <c r="E40" s="13">
        <v>19.0</v>
      </c>
      <c r="F40" s="13">
        <f t="shared" si="9"/>
        <v>19</v>
      </c>
      <c r="G40" s="3"/>
      <c r="H40" s="3" t="s">
        <v>23</v>
      </c>
      <c r="I40" s="13">
        <v>-1065.9</v>
      </c>
      <c r="J40" s="13">
        <v>31.0</v>
      </c>
      <c r="K40" s="13">
        <v>14.0</v>
      </c>
      <c r="L40" s="13">
        <f t="shared" si="10"/>
        <v>17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 t="s">
        <v>24</v>
      </c>
      <c r="C41" s="13">
        <v>665.99</v>
      </c>
      <c r="D41" s="13">
        <v>33.0</v>
      </c>
      <c r="E41" s="13">
        <v>18.0</v>
      </c>
      <c r="F41" s="13">
        <f t="shared" si="9"/>
        <v>15</v>
      </c>
      <c r="G41" s="3"/>
      <c r="H41" s="3" t="s">
        <v>24</v>
      </c>
      <c r="I41" s="13">
        <v>-1853.97</v>
      </c>
      <c r="J41" s="13">
        <v>49.0</v>
      </c>
      <c r="K41" s="13">
        <v>18.0</v>
      </c>
      <c r="L41" s="13">
        <f t="shared" si="10"/>
        <v>31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 t="s">
        <v>25</v>
      </c>
      <c r="C42" s="13">
        <v>505.65</v>
      </c>
      <c r="D42" s="13">
        <v>45.0</v>
      </c>
      <c r="E42" s="13">
        <v>21.0</v>
      </c>
      <c r="F42" s="13">
        <f t="shared" si="9"/>
        <v>24</v>
      </c>
      <c r="G42" s="3"/>
      <c r="H42" s="3" t="s">
        <v>25</v>
      </c>
      <c r="I42" s="13">
        <v>-1596.0</v>
      </c>
      <c r="J42" s="13">
        <v>49.0</v>
      </c>
      <c r="K42" s="13">
        <v>20.0</v>
      </c>
      <c r="L42" s="13">
        <f t="shared" si="10"/>
        <v>29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 t="s">
        <v>26</v>
      </c>
      <c r="C43" s="13">
        <v>1072.2</v>
      </c>
      <c r="D43" s="13">
        <v>35.0</v>
      </c>
      <c r="E43" s="13">
        <v>21.0</v>
      </c>
      <c r="F43" s="13">
        <f t="shared" si="9"/>
        <v>14</v>
      </c>
      <c r="G43" s="3"/>
      <c r="H43" s="3" t="s">
        <v>26</v>
      </c>
      <c r="I43" s="13">
        <v>-899.8</v>
      </c>
      <c r="J43" s="13">
        <v>43.0</v>
      </c>
      <c r="K43" s="13">
        <v>19.0</v>
      </c>
      <c r="L43" s="13">
        <f t="shared" si="10"/>
        <v>24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 t="s">
        <v>27</v>
      </c>
      <c r="C44" s="13">
        <v>771.34</v>
      </c>
      <c r="D44" s="13">
        <v>27.0</v>
      </c>
      <c r="E44" s="13">
        <v>15.0</v>
      </c>
      <c r="F44" s="13">
        <f t="shared" si="9"/>
        <v>12</v>
      </c>
      <c r="G44" s="3"/>
      <c r="H44" s="3" t="s">
        <v>27</v>
      </c>
      <c r="I44" s="13">
        <v>-1479.91</v>
      </c>
      <c r="J44" s="13">
        <v>55.0</v>
      </c>
      <c r="K44" s="13">
        <v>20.0</v>
      </c>
      <c r="L44" s="13">
        <f t="shared" si="10"/>
        <v>35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>
        <f t="shared" ref="D45:F45" si="11">SUM(D34:D44)</f>
        <v>395</v>
      </c>
      <c r="E45" s="3">
        <f t="shared" si="11"/>
        <v>204</v>
      </c>
      <c r="F45" s="3">
        <f t="shared" si="11"/>
        <v>191</v>
      </c>
      <c r="G45" s="3"/>
      <c r="H45" s="3"/>
      <c r="I45" s="3"/>
      <c r="J45" s="3">
        <f t="shared" ref="J45:L45" si="12">SUM(J34:J44)</f>
        <v>488</v>
      </c>
      <c r="K45" s="3">
        <f t="shared" si="12"/>
        <v>225</v>
      </c>
      <c r="L45" s="3">
        <f t="shared" si="12"/>
        <v>263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8" t="s">
        <v>30</v>
      </c>
      <c r="C46" s="3"/>
      <c r="D46" s="3"/>
      <c r="E46" s="3"/>
      <c r="F46" s="3"/>
      <c r="G46" s="3"/>
      <c r="H46" s="8" t="s">
        <v>30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9" t="s">
        <v>12</v>
      </c>
      <c r="C47" s="10" t="s">
        <v>13</v>
      </c>
      <c r="D47" s="11" t="s">
        <v>14</v>
      </c>
      <c r="E47" s="11" t="s">
        <v>15</v>
      </c>
      <c r="F47" s="11" t="s">
        <v>16</v>
      </c>
      <c r="G47" s="3"/>
      <c r="H47" s="9" t="s">
        <v>12</v>
      </c>
      <c r="I47" s="10" t="s">
        <v>13</v>
      </c>
      <c r="J47" s="11" t="s">
        <v>14</v>
      </c>
      <c r="K47" s="11" t="s">
        <v>15</v>
      </c>
      <c r="L47" s="11" t="s">
        <v>16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 t="s">
        <v>17</v>
      </c>
      <c r="C48" s="13">
        <v>-440.34</v>
      </c>
      <c r="D48" s="13">
        <v>56.0</v>
      </c>
      <c r="E48" s="13">
        <v>26.0</v>
      </c>
      <c r="F48" s="13">
        <f t="shared" ref="F48:F58" si="13">D48-E48</f>
        <v>30</v>
      </c>
      <c r="G48" s="3"/>
      <c r="H48" s="3" t="s">
        <v>17</v>
      </c>
      <c r="I48" s="13">
        <v>330.5</v>
      </c>
      <c r="J48" s="13">
        <v>26.0</v>
      </c>
      <c r="K48" s="13">
        <v>16.0</v>
      </c>
      <c r="L48" s="13">
        <f t="shared" ref="L48:L58" si="14">J48-K48</f>
        <v>10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 t="s">
        <v>18</v>
      </c>
      <c r="C49" s="13">
        <v>-1674.19</v>
      </c>
      <c r="D49" s="13">
        <v>46.0</v>
      </c>
      <c r="E49" s="13">
        <v>15.0</v>
      </c>
      <c r="F49" s="13">
        <f t="shared" si="13"/>
        <v>31</v>
      </c>
      <c r="G49" s="3"/>
      <c r="H49" s="3" t="s">
        <v>18</v>
      </c>
      <c r="I49" s="13">
        <v>-600.05</v>
      </c>
      <c r="J49" s="13">
        <v>38.0</v>
      </c>
      <c r="K49" s="13">
        <v>17.0</v>
      </c>
      <c r="L49" s="13">
        <f t="shared" si="14"/>
        <v>21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 t="s">
        <v>19</v>
      </c>
      <c r="C50" s="13">
        <v>-335.79</v>
      </c>
      <c r="D50" s="13">
        <v>52.0</v>
      </c>
      <c r="E50" s="13">
        <v>16.0</v>
      </c>
      <c r="F50" s="13">
        <f t="shared" si="13"/>
        <v>36</v>
      </c>
      <c r="G50" s="3"/>
      <c r="H50" s="3" t="s">
        <v>19</v>
      </c>
      <c r="I50" s="13">
        <v>84.95</v>
      </c>
      <c r="J50" s="13">
        <v>36.0</v>
      </c>
      <c r="K50" s="13">
        <v>15.0</v>
      </c>
      <c r="L50" s="13">
        <f t="shared" si="14"/>
        <v>21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 t="s">
        <v>20</v>
      </c>
      <c r="C51" s="13">
        <v>-2740.42</v>
      </c>
      <c r="D51" s="13">
        <v>55.0</v>
      </c>
      <c r="E51" s="13">
        <v>19.0</v>
      </c>
      <c r="F51" s="13">
        <f t="shared" si="13"/>
        <v>36</v>
      </c>
      <c r="G51" s="3"/>
      <c r="H51" s="3" t="s">
        <v>20</v>
      </c>
      <c r="I51" s="13">
        <v>-497.77</v>
      </c>
      <c r="J51" s="13">
        <v>37.0</v>
      </c>
      <c r="K51" s="13">
        <v>40.0</v>
      </c>
      <c r="L51" s="13">
        <f t="shared" si="14"/>
        <v>-3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 t="s">
        <v>21</v>
      </c>
      <c r="C52" s="13">
        <v>1347.2</v>
      </c>
      <c r="D52" s="13">
        <v>53.0</v>
      </c>
      <c r="E52" s="13">
        <v>25.0</v>
      </c>
      <c r="F52" s="13">
        <f t="shared" si="13"/>
        <v>28</v>
      </c>
      <c r="G52" s="3"/>
      <c r="H52" s="3" t="s">
        <v>21</v>
      </c>
      <c r="I52" s="13">
        <v>-845.9</v>
      </c>
      <c r="J52" s="13">
        <v>48.0</v>
      </c>
      <c r="K52" s="13">
        <v>17.0</v>
      </c>
      <c r="L52" s="13">
        <f t="shared" si="14"/>
        <v>31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 t="s">
        <v>22</v>
      </c>
      <c r="C53" s="13">
        <v>-231.34</v>
      </c>
      <c r="D53" s="13">
        <v>45.0</v>
      </c>
      <c r="E53" s="13">
        <v>21.0</v>
      </c>
      <c r="F53" s="13">
        <f t="shared" si="13"/>
        <v>24</v>
      </c>
      <c r="G53" s="3"/>
      <c r="H53" s="3" t="s">
        <v>22</v>
      </c>
      <c r="I53" s="13">
        <v>112.2</v>
      </c>
      <c r="J53" s="13">
        <v>44.0</v>
      </c>
      <c r="K53" s="13">
        <v>21.0</v>
      </c>
      <c r="L53" s="13">
        <f t="shared" si="14"/>
        <v>23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 t="s">
        <v>23</v>
      </c>
      <c r="C54" s="13">
        <v>42.05</v>
      </c>
      <c r="D54" s="13">
        <v>43.0</v>
      </c>
      <c r="E54" s="13">
        <v>20.0</v>
      </c>
      <c r="F54" s="13">
        <f t="shared" si="13"/>
        <v>23</v>
      </c>
      <c r="G54" s="3"/>
      <c r="H54" s="3" t="s">
        <v>23</v>
      </c>
      <c r="I54" s="13">
        <v>-1137.15</v>
      </c>
      <c r="J54" s="13">
        <v>34.0</v>
      </c>
      <c r="K54" s="13">
        <v>12.0</v>
      </c>
      <c r="L54" s="13">
        <f t="shared" si="14"/>
        <v>22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 t="s">
        <v>24</v>
      </c>
      <c r="C55" s="13">
        <v>-1409.7</v>
      </c>
      <c r="D55" s="13">
        <v>54.0</v>
      </c>
      <c r="E55" s="13">
        <v>19.0</v>
      </c>
      <c r="F55" s="13">
        <f t="shared" si="13"/>
        <v>35</v>
      </c>
      <c r="G55" s="3"/>
      <c r="H55" s="3" t="s">
        <v>24</v>
      </c>
      <c r="I55" s="13">
        <v>-1304.06</v>
      </c>
      <c r="J55" s="13">
        <v>43.0</v>
      </c>
      <c r="K55" s="13">
        <v>19.0</v>
      </c>
      <c r="L55" s="13">
        <f t="shared" si="14"/>
        <v>24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 t="s">
        <v>25</v>
      </c>
      <c r="C56" s="13">
        <v>-1806.54</v>
      </c>
      <c r="D56" s="13">
        <v>55.0</v>
      </c>
      <c r="E56" s="13">
        <v>18.0</v>
      </c>
      <c r="F56" s="13">
        <f t="shared" si="13"/>
        <v>37</v>
      </c>
      <c r="G56" s="3"/>
      <c r="H56" s="3" t="s">
        <v>25</v>
      </c>
      <c r="I56" s="13">
        <v>-858.3</v>
      </c>
      <c r="J56" s="13">
        <v>41.0</v>
      </c>
      <c r="K56" s="13">
        <v>18.0</v>
      </c>
      <c r="L56" s="13">
        <f t="shared" si="14"/>
        <v>23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 t="s">
        <v>26</v>
      </c>
      <c r="C57" s="13">
        <v>74.28</v>
      </c>
      <c r="D57" s="13">
        <v>50.0</v>
      </c>
      <c r="E57" s="13">
        <v>22.0</v>
      </c>
      <c r="F57" s="13">
        <f t="shared" si="13"/>
        <v>28</v>
      </c>
      <c r="G57" s="3"/>
      <c r="H57" s="3" t="s">
        <v>26</v>
      </c>
      <c r="I57" s="13">
        <v>347.3</v>
      </c>
      <c r="J57" s="13">
        <v>56.0</v>
      </c>
      <c r="K57" s="13">
        <v>24.0</v>
      </c>
      <c r="L57" s="13">
        <f t="shared" si="14"/>
        <v>32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 t="s">
        <v>27</v>
      </c>
      <c r="C58" s="13">
        <v>-1020.79</v>
      </c>
      <c r="D58" s="13">
        <v>50.0</v>
      </c>
      <c r="E58" s="13">
        <v>19.0</v>
      </c>
      <c r="F58" s="13">
        <f t="shared" si="13"/>
        <v>31</v>
      </c>
      <c r="G58" s="3"/>
      <c r="H58" s="3" t="s">
        <v>27</v>
      </c>
      <c r="I58" s="13">
        <v>-2146.05</v>
      </c>
      <c r="J58" s="13">
        <v>48.0</v>
      </c>
      <c r="K58" s="13">
        <v>14.0</v>
      </c>
      <c r="L58" s="13">
        <f t="shared" si="14"/>
        <v>34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>
        <f t="shared" ref="D59:F59" si="15">SUM(D48:D58)</f>
        <v>559</v>
      </c>
      <c r="E59" s="3">
        <f t="shared" si="15"/>
        <v>220</v>
      </c>
      <c r="F59" s="3">
        <f t="shared" si="15"/>
        <v>339</v>
      </c>
      <c r="G59" s="3"/>
      <c r="H59" s="3"/>
      <c r="I59" s="3"/>
      <c r="J59" s="3">
        <f t="shared" ref="J59:L59" si="16">SUM(J48:J58)</f>
        <v>451</v>
      </c>
      <c r="K59" s="3">
        <f t="shared" si="16"/>
        <v>213</v>
      </c>
      <c r="L59" s="3">
        <f t="shared" si="16"/>
        <v>238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3"/>
      <c r="B60" s="3"/>
      <c r="C60" s="15" t="s">
        <v>31</v>
      </c>
      <c r="D60" s="3">
        <f t="shared" ref="D60:F60" si="17">D59+D45+D31+D17</f>
        <v>1847</v>
      </c>
      <c r="E60" s="3">
        <f t="shared" si="17"/>
        <v>815</v>
      </c>
      <c r="F60" s="3">
        <f t="shared" si="17"/>
        <v>1032</v>
      </c>
      <c r="G60" s="3"/>
      <c r="H60" s="3"/>
      <c r="I60" s="15" t="s">
        <v>32</v>
      </c>
      <c r="J60" s="3">
        <f t="shared" ref="J60:L60" si="18">J59+J45+J31+J17</f>
        <v>1918</v>
      </c>
      <c r="K60" s="3">
        <f t="shared" si="18"/>
        <v>936</v>
      </c>
      <c r="L60" s="3">
        <f t="shared" si="18"/>
        <v>982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3"/>
      <c r="B61" s="3"/>
      <c r="C61" s="15" t="s">
        <v>33</v>
      </c>
      <c r="D61" s="3">
        <f t="shared" ref="D61:F61" si="19">D60+J60</f>
        <v>3765</v>
      </c>
      <c r="E61" s="3">
        <f t="shared" si="19"/>
        <v>1751</v>
      </c>
      <c r="F61" s="3">
        <f t="shared" si="19"/>
        <v>2014</v>
      </c>
      <c r="G61" s="3"/>
      <c r="H61" s="3"/>
      <c r="I61" s="3"/>
      <c r="J61" s="3"/>
      <c r="K61" s="3"/>
      <c r="L61" s="3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3"/>
      <c r="B62" s="3"/>
      <c r="C62" s="15" t="s">
        <v>34</v>
      </c>
      <c r="D62" s="16">
        <f>E61/D61</f>
        <v>0.4650730412</v>
      </c>
      <c r="E62" s="3"/>
      <c r="F62" s="3"/>
      <c r="G62" s="3"/>
      <c r="H62" s="3"/>
      <c r="I62" s="3"/>
      <c r="J62" s="3"/>
      <c r="K62" s="3"/>
      <c r="L62" s="3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3"/>
      <c r="B63" s="3"/>
      <c r="C63" s="15" t="s">
        <v>35</v>
      </c>
      <c r="D63" s="17">
        <f>1-D62</f>
        <v>0.5349269588</v>
      </c>
      <c r="E63" s="3"/>
      <c r="F63" s="3"/>
      <c r="G63" s="3"/>
      <c r="H63" s="3"/>
      <c r="I63" s="3"/>
      <c r="J63" s="3"/>
      <c r="K63" s="3"/>
      <c r="L63" s="3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B1:L1"/>
    <mergeCell ref="B3:F3"/>
    <mergeCell ref="H3:L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  <col customWidth="1" min="5" max="5" width="13.5"/>
    <col customWidth="1" min="6" max="6" width="13.25"/>
    <col customWidth="1" min="10" max="10" width="17.13"/>
    <col customWidth="1" min="11" max="11" width="13.5"/>
    <col customWidth="1" min="12" max="12" width="14.63"/>
  </cols>
  <sheetData>
    <row r="1">
      <c r="A1" s="18"/>
      <c r="B1" s="19" t="s">
        <v>8</v>
      </c>
      <c r="C1" s="5"/>
      <c r="D1" s="5"/>
      <c r="E1" s="5"/>
      <c r="F1" s="5"/>
      <c r="G1" s="5"/>
      <c r="H1" s="5"/>
      <c r="I1" s="5"/>
      <c r="J1" s="5"/>
      <c r="K1" s="5"/>
      <c r="L1" s="6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7" t="s">
        <v>9</v>
      </c>
      <c r="C3" s="5"/>
      <c r="D3" s="5"/>
      <c r="E3" s="5"/>
      <c r="F3" s="6"/>
      <c r="G3" s="20"/>
      <c r="H3" s="7" t="s">
        <v>10</v>
      </c>
      <c r="I3" s="5"/>
      <c r="J3" s="5"/>
      <c r="K3" s="5"/>
      <c r="L3" s="6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8" t="s">
        <v>11</v>
      </c>
      <c r="C4" s="20"/>
      <c r="D4" s="20"/>
      <c r="E4" s="20"/>
      <c r="F4" s="20"/>
      <c r="G4" s="20"/>
      <c r="H4" s="33" t="s">
        <v>11</v>
      </c>
      <c r="I4" s="20"/>
      <c r="J4" s="20"/>
      <c r="K4" s="20"/>
      <c r="L4" s="20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9" t="s">
        <v>12</v>
      </c>
      <c r="C5" s="10" t="s">
        <v>13</v>
      </c>
      <c r="D5" s="11" t="s">
        <v>14</v>
      </c>
      <c r="E5" s="11" t="s">
        <v>15</v>
      </c>
      <c r="F5" s="11" t="s">
        <v>16</v>
      </c>
      <c r="G5" s="3"/>
      <c r="H5" s="9" t="s">
        <v>12</v>
      </c>
      <c r="I5" s="10" t="s">
        <v>13</v>
      </c>
      <c r="J5" s="11" t="s">
        <v>14</v>
      </c>
      <c r="K5" s="11" t="s">
        <v>15</v>
      </c>
      <c r="L5" s="11" t="s">
        <v>16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1"/>
      <c r="B6" s="22" t="s">
        <v>17</v>
      </c>
      <c r="C6" s="23">
        <v>318.7</v>
      </c>
      <c r="D6" s="23">
        <v>30.0</v>
      </c>
      <c r="E6" s="23">
        <v>15.0</v>
      </c>
      <c r="F6" s="23">
        <f t="shared" ref="F6:F16" si="1">D6-E6</f>
        <v>15</v>
      </c>
      <c r="G6" s="18"/>
      <c r="H6" s="22" t="s">
        <v>17</v>
      </c>
      <c r="I6" s="23">
        <v>-660.05</v>
      </c>
      <c r="J6" s="23">
        <v>33.0</v>
      </c>
      <c r="K6" s="23">
        <v>13.0</v>
      </c>
      <c r="L6" s="23">
        <f t="shared" ref="L6:L16" si="2">J6-K6</f>
        <v>20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4"/>
      <c r="B7" s="22" t="s">
        <v>18</v>
      </c>
      <c r="C7" s="23">
        <v>660.89</v>
      </c>
      <c r="D7" s="23">
        <v>27.0</v>
      </c>
      <c r="E7" s="23">
        <v>15.0</v>
      </c>
      <c r="F7" s="23">
        <f t="shared" si="1"/>
        <v>12</v>
      </c>
      <c r="G7" s="18"/>
      <c r="H7" s="22" t="s">
        <v>18</v>
      </c>
      <c r="I7" s="23">
        <v>243.04</v>
      </c>
      <c r="J7" s="23">
        <v>25.0</v>
      </c>
      <c r="K7" s="23">
        <v>13.0</v>
      </c>
      <c r="L7" s="23">
        <f t="shared" si="2"/>
        <v>12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/>
      <c r="B8" s="22" t="s">
        <v>19</v>
      </c>
      <c r="C8" s="23">
        <v>435.15</v>
      </c>
      <c r="D8" s="23">
        <v>23.0</v>
      </c>
      <c r="E8" s="23">
        <v>11.0</v>
      </c>
      <c r="F8" s="23">
        <f t="shared" si="1"/>
        <v>12</v>
      </c>
      <c r="G8" s="18"/>
      <c r="H8" s="22" t="s">
        <v>19</v>
      </c>
      <c r="I8" s="23">
        <v>325.59</v>
      </c>
      <c r="J8" s="23">
        <v>26.0</v>
      </c>
      <c r="K8" s="23">
        <v>14.0</v>
      </c>
      <c r="L8" s="23">
        <f t="shared" si="2"/>
        <v>12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4"/>
      <c r="B9" s="22" t="s">
        <v>20</v>
      </c>
      <c r="C9" s="23">
        <v>-1407.67</v>
      </c>
      <c r="D9" s="23">
        <v>31.0</v>
      </c>
      <c r="E9" s="23">
        <v>10.0</v>
      </c>
      <c r="F9" s="23">
        <f t="shared" si="1"/>
        <v>21</v>
      </c>
      <c r="G9" s="18"/>
      <c r="H9" s="22" t="s">
        <v>20</v>
      </c>
      <c r="I9" s="23">
        <v>707.44</v>
      </c>
      <c r="J9" s="23">
        <v>38.0</v>
      </c>
      <c r="K9" s="23">
        <v>18.0</v>
      </c>
      <c r="L9" s="23">
        <f t="shared" si="2"/>
        <v>20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1"/>
      <c r="B10" s="22" t="s">
        <v>21</v>
      </c>
      <c r="C10" s="23">
        <v>1545.05</v>
      </c>
      <c r="D10" s="23">
        <v>32.0</v>
      </c>
      <c r="E10" s="23">
        <v>16.0</v>
      </c>
      <c r="F10" s="23">
        <f t="shared" si="1"/>
        <v>16</v>
      </c>
      <c r="G10" s="18"/>
      <c r="H10" s="22" t="s">
        <v>21</v>
      </c>
      <c r="I10" s="23">
        <v>-1003.85</v>
      </c>
      <c r="J10" s="23">
        <v>33.0</v>
      </c>
      <c r="K10" s="23">
        <v>13.0</v>
      </c>
      <c r="L10" s="23">
        <f t="shared" si="2"/>
        <v>20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1"/>
      <c r="B11" s="22" t="s">
        <v>22</v>
      </c>
      <c r="C11" s="23">
        <v>3204.25</v>
      </c>
      <c r="D11" s="23">
        <v>27.0</v>
      </c>
      <c r="E11" s="23">
        <v>18.0</v>
      </c>
      <c r="F11" s="23">
        <f t="shared" si="1"/>
        <v>9</v>
      </c>
      <c r="G11" s="18"/>
      <c r="H11" s="22" t="s">
        <v>22</v>
      </c>
      <c r="I11" s="23">
        <v>-876.55</v>
      </c>
      <c r="J11" s="23">
        <v>30.0</v>
      </c>
      <c r="K11" s="23">
        <v>11.0</v>
      </c>
      <c r="L11" s="23">
        <f t="shared" si="2"/>
        <v>19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4"/>
      <c r="B12" s="22" t="s">
        <v>23</v>
      </c>
      <c r="C12" s="23">
        <v>-414.89</v>
      </c>
      <c r="D12" s="23">
        <v>25.0</v>
      </c>
      <c r="E12" s="23">
        <v>12.0</v>
      </c>
      <c r="F12" s="23">
        <f t="shared" si="1"/>
        <v>13</v>
      </c>
      <c r="G12" s="18"/>
      <c r="H12" s="22" t="s">
        <v>23</v>
      </c>
      <c r="I12" s="23">
        <v>374.44</v>
      </c>
      <c r="J12" s="23">
        <v>32.0</v>
      </c>
      <c r="K12" s="23">
        <v>15.0</v>
      </c>
      <c r="L12" s="23">
        <f t="shared" si="2"/>
        <v>17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1"/>
      <c r="B13" s="22" t="s">
        <v>24</v>
      </c>
      <c r="C13" s="23">
        <v>853.69</v>
      </c>
      <c r="D13" s="23">
        <v>30.0</v>
      </c>
      <c r="E13" s="23">
        <v>17.0</v>
      </c>
      <c r="F13" s="23">
        <f t="shared" si="1"/>
        <v>13</v>
      </c>
      <c r="G13" s="18"/>
      <c r="H13" s="22" t="s">
        <v>24</v>
      </c>
      <c r="I13" s="23">
        <v>260.26</v>
      </c>
      <c r="J13" s="23">
        <v>35.0</v>
      </c>
      <c r="K13" s="23">
        <v>14.0</v>
      </c>
      <c r="L13" s="23">
        <f t="shared" si="2"/>
        <v>21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4"/>
      <c r="B14" s="22" t="s">
        <v>25</v>
      </c>
      <c r="C14" s="23">
        <v>522.43</v>
      </c>
      <c r="D14" s="23">
        <v>30.0</v>
      </c>
      <c r="E14" s="23">
        <v>15.0</v>
      </c>
      <c r="F14" s="23">
        <f t="shared" si="1"/>
        <v>15</v>
      </c>
      <c r="G14" s="18"/>
      <c r="H14" s="22" t="s">
        <v>25</v>
      </c>
      <c r="I14" s="23">
        <v>-834.35</v>
      </c>
      <c r="J14" s="23">
        <v>31.0</v>
      </c>
      <c r="K14" s="23">
        <v>11.0</v>
      </c>
      <c r="L14" s="23">
        <f t="shared" si="2"/>
        <v>20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1"/>
      <c r="B15" s="22" t="s">
        <v>26</v>
      </c>
      <c r="C15" s="23">
        <v>3018.61</v>
      </c>
      <c r="D15" s="23">
        <v>33.0</v>
      </c>
      <c r="E15" s="23">
        <v>20.0</v>
      </c>
      <c r="F15" s="23">
        <f t="shared" si="1"/>
        <v>13</v>
      </c>
      <c r="G15" s="18"/>
      <c r="H15" s="22" t="s">
        <v>26</v>
      </c>
      <c r="I15" s="23">
        <v>351.62</v>
      </c>
      <c r="J15" s="23">
        <v>33.0</v>
      </c>
      <c r="K15" s="23">
        <v>14.0</v>
      </c>
      <c r="L15" s="23">
        <f t="shared" si="2"/>
        <v>19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2" t="s">
        <v>27</v>
      </c>
      <c r="C16" s="23">
        <v>1071.49</v>
      </c>
      <c r="D16" s="23">
        <v>24.0</v>
      </c>
      <c r="E16" s="23">
        <v>13.0</v>
      </c>
      <c r="F16" s="23">
        <f t="shared" si="1"/>
        <v>11</v>
      </c>
      <c r="G16" s="18"/>
      <c r="H16" s="22" t="s">
        <v>27</v>
      </c>
      <c r="I16" s="23">
        <v>1864.67</v>
      </c>
      <c r="J16" s="23">
        <v>31.0</v>
      </c>
      <c r="K16" s="23">
        <v>16.0</v>
      </c>
      <c r="L16" s="23">
        <f t="shared" si="2"/>
        <v>15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3"/>
      <c r="B17" s="3"/>
      <c r="C17" s="3"/>
      <c r="D17" s="3">
        <f t="shared" ref="D17:F17" si="3">SUM(D6:D16)</f>
        <v>312</v>
      </c>
      <c r="E17" s="3">
        <f t="shared" si="3"/>
        <v>162</v>
      </c>
      <c r="F17" s="3">
        <f t="shared" si="3"/>
        <v>150</v>
      </c>
      <c r="G17" s="3"/>
      <c r="H17" s="3"/>
      <c r="I17" s="3"/>
      <c r="J17" s="3">
        <f t="shared" ref="J17:L17" si="4">SUM(J6:J16)</f>
        <v>347</v>
      </c>
      <c r="K17" s="3">
        <f t="shared" si="4"/>
        <v>152</v>
      </c>
      <c r="L17" s="3">
        <f t="shared" si="4"/>
        <v>195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/>
      <c r="B18" s="8" t="s">
        <v>28</v>
      </c>
      <c r="C18" s="18"/>
      <c r="D18" s="18"/>
      <c r="E18" s="18"/>
      <c r="F18" s="18"/>
      <c r="G18" s="18"/>
      <c r="H18" s="33" t="s">
        <v>28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9" t="s">
        <v>12</v>
      </c>
      <c r="C19" s="10" t="s">
        <v>13</v>
      </c>
      <c r="D19" s="11" t="s">
        <v>14</v>
      </c>
      <c r="E19" s="11" t="s">
        <v>15</v>
      </c>
      <c r="F19" s="11" t="s">
        <v>16</v>
      </c>
      <c r="G19" s="3"/>
      <c r="H19" s="9" t="s">
        <v>12</v>
      </c>
      <c r="I19" s="10" t="s">
        <v>13</v>
      </c>
      <c r="J19" s="11" t="s">
        <v>14</v>
      </c>
      <c r="K19" s="11" t="s">
        <v>15</v>
      </c>
      <c r="L19" s="11" t="s">
        <v>16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2" t="s">
        <v>17</v>
      </c>
      <c r="C20" s="23">
        <v>-471.65</v>
      </c>
      <c r="D20" s="23">
        <v>24.0</v>
      </c>
      <c r="E20" s="23">
        <v>9.0</v>
      </c>
      <c r="F20" s="23">
        <f t="shared" ref="F20:F30" si="5">D20-E20</f>
        <v>15</v>
      </c>
      <c r="G20" s="18"/>
      <c r="H20" s="22" t="s">
        <v>17</v>
      </c>
      <c r="I20" s="23">
        <v>477.79</v>
      </c>
      <c r="J20" s="23">
        <v>29.0</v>
      </c>
      <c r="K20" s="23">
        <v>14.0</v>
      </c>
      <c r="L20" s="23">
        <f t="shared" ref="L20:L30" si="6">J20-K20</f>
        <v>15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2" t="s">
        <v>18</v>
      </c>
      <c r="C21" s="23">
        <v>-713.24</v>
      </c>
      <c r="D21" s="23">
        <v>26.0</v>
      </c>
      <c r="E21" s="23">
        <v>10.0</v>
      </c>
      <c r="F21" s="23">
        <f t="shared" si="5"/>
        <v>16</v>
      </c>
      <c r="G21" s="18"/>
      <c r="H21" s="22" t="s">
        <v>18</v>
      </c>
      <c r="I21" s="23">
        <v>480.54</v>
      </c>
      <c r="J21" s="23">
        <v>27.0</v>
      </c>
      <c r="K21" s="23">
        <v>17.0</v>
      </c>
      <c r="L21" s="23">
        <f t="shared" si="6"/>
        <v>10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2" t="s">
        <v>19</v>
      </c>
      <c r="C22" s="23">
        <v>-627.84</v>
      </c>
      <c r="D22" s="23">
        <v>21.0</v>
      </c>
      <c r="E22" s="23">
        <v>9.0</v>
      </c>
      <c r="F22" s="23">
        <f t="shared" si="5"/>
        <v>12</v>
      </c>
      <c r="G22" s="18"/>
      <c r="H22" s="22" t="s">
        <v>19</v>
      </c>
      <c r="I22" s="23">
        <v>-792.7</v>
      </c>
      <c r="J22" s="23">
        <v>26.0</v>
      </c>
      <c r="K22" s="23">
        <v>10.0</v>
      </c>
      <c r="L22" s="23">
        <f t="shared" si="6"/>
        <v>16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2" t="s">
        <v>20</v>
      </c>
      <c r="C23" s="23">
        <v>-281.64</v>
      </c>
      <c r="D23" s="23">
        <v>24.0</v>
      </c>
      <c r="E23" s="23">
        <v>8.0</v>
      </c>
      <c r="F23" s="23">
        <f t="shared" si="5"/>
        <v>16</v>
      </c>
      <c r="G23" s="18"/>
      <c r="H23" s="22" t="s">
        <v>20</v>
      </c>
      <c r="I23" s="23">
        <v>1156.95</v>
      </c>
      <c r="J23" s="23">
        <v>29.0</v>
      </c>
      <c r="K23" s="23">
        <v>20.0</v>
      </c>
      <c r="L23" s="23">
        <f t="shared" si="6"/>
        <v>9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2" t="s">
        <v>21</v>
      </c>
      <c r="C24" s="23">
        <v>-1010.44</v>
      </c>
      <c r="D24" s="23">
        <v>25.0</v>
      </c>
      <c r="E24" s="23">
        <v>10.0</v>
      </c>
      <c r="F24" s="23">
        <f t="shared" si="5"/>
        <v>15</v>
      </c>
      <c r="G24" s="18"/>
      <c r="H24" s="22" t="s">
        <v>21</v>
      </c>
      <c r="I24" s="23">
        <v>55.09</v>
      </c>
      <c r="J24" s="23">
        <v>35.0</v>
      </c>
      <c r="K24" s="23">
        <v>15.0</v>
      </c>
      <c r="L24" s="23">
        <f t="shared" si="6"/>
        <v>20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2" t="s">
        <v>22</v>
      </c>
      <c r="C25" s="23">
        <v>-1340.79</v>
      </c>
      <c r="D25" s="23">
        <v>26.0</v>
      </c>
      <c r="E25" s="23">
        <v>8.0</v>
      </c>
      <c r="F25" s="23">
        <f t="shared" si="5"/>
        <v>18</v>
      </c>
      <c r="G25" s="18"/>
      <c r="H25" s="22" t="s">
        <v>22</v>
      </c>
      <c r="I25" s="23">
        <v>1219.84</v>
      </c>
      <c r="J25" s="23">
        <v>31.0</v>
      </c>
      <c r="K25" s="23">
        <v>16.0</v>
      </c>
      <c r="L25" s="23">
        <f t="shared" si="6"/>
        <v>15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2" t="s">
        <v>23</v>
      </c>
      <c r="C26" s="23">
        <v>-352.84</v>
      </c>
      <c r="D26" s="23">
        <v>19.0</v>
      </c>
      <c r="E26" s="23">
        <v>7.0</v>
      </c>
      <c r="F26" s="23">
        <f t="shared" si="5"/>
        <v>12</v>
      </c>
      <c r="G26" s="18"/>
      <c r="H26" s="22" t="s">
        <v>23</v>
      </c>
      <c r="I26" s="23">
        <v>524.75</v>
      </c>
      <c r="J26" s="23">
        <v>22.0</v>
      </c>
      <c r="K26" s="23">
        <v>11.0</v>
      </c>
      <c r="L26" s="23">
        <f t="shared" si="6"/>
        <v>11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2" t="s">
        <v>24</v>
      </c>
      <c r="C27" s="23">
        <v>-933.79</v>
      </c>
      <c r="D27" s="23">
        <v>27.0</v>
      </c>
      <c r="E27" s="23">
        <v>9.0</v>
      </c>
      <c r="F27" s="23">
        <f t="shared" si="5"/>
        <v>18</v>
      </c>
      <c r="G27" s="18"/>
      <c r="H27" s="22" t="s">
        <v>24</v>
      </c>
      <c r="I27" s="23">
        <v>1553.96</v>
      </c>
      <c r="J27" s="23">
        <v>32.0</v>
      </c>
      <c r="K27" s="23">
        <v>18.0</v>
      </c>
      <c r="L27" s="23">
        <f t="shared" si="6"/>
        <v>14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2" t="s">
        <v>25</v>
      </c>
      <c r="C28" s="23">
        <v>149.92</v>
      </c>
      <c r="D28" s="23">
        <v>32.0</v>
      </c>
      <c r="E28" s="23">
        <v>14.0</v>
      </c>
      <c r="F28" s="23">
        <f t="shared" si="5"/>
        <v>18</v>
      </c>
      <c r="G28" s="18"/>
      <c r="H28" s="22" t="s">
        <v>25</v>
      </c>
      <c r="I28" s="23">
        <v>-164.01</v>
      </c>
      <c r="J28" s="23">
        <v>32.0</v>
      </c>
      <c r="K28" s="23">
        <v>15.0</v>
      </c>
      <c r="L28" s="23">
        <f t="shared" si="6"/>
        <v>17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2" t="s">
        <v>26</v>
      </c>
      <c r="C29" s="23">
        <v>84.64</v>
      </c>
      <c r="D29" s="23">
        <v>28.0</v>
      </c>
      <c r="E29" s="23">
        <v>11.0</v>
      </c>
      <c r="F29" s="23">
        <f t="shared" si="5"/>
        <v>17</v>
      </c>
      <c r="G29" s="18"/>
      <c r="H29" s="22" t="s">
        <v>26</v>
      </c>
      <c r="I29" s="23">
        <v>1109.22</v>
      </c>
      <c r="J29" s="23">
        <v>32.0</v>
      </c>
      <c r="K29" s="23">
        <v>18.0</v>
      </c>
      <c r="L29" s="23">
        <f t="shared" si="6"/>
        <v>14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2" t="s">
        <v>27</v>
      </c>
      <c r="C30" s="23">
        <v>-993.95</v>
      </c>
      <c r="D30" s="23">
        <v>19.0</v>
      </c>
      <c r="E30" s="23">
        <v>6.0</v>
      </c>
      <c r="F30" s="23">
        <f t="shared" si="5"/>
        <v>13</v>
      </c>
      <c r="G30" s="18"/>
      <c r="H30" s="22" t="s">
        <v>27</v>
      </c>
      <c r="I30" s="23">
        <v>87.88</v>
      </c>
      <c r="J30" s="23">
        <v>20.0</v>
      </c>
      <c r="K30" s="23">
        <v>11.0</v>
      </c>
      <c r="L30" s="23">
        <f t="shared" si="6"/>
        <v>9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3"/>
      <c r="B31" s="3"/>
      <c r="C31" s="3"/>
      <c r="D31" s="3">
        <f t="shared" ref="D31:F31" si="7">SUM(D20:D30)</f>
        <v>271</v>
      </c>
      <c r="E31" s="3">
        <f t="shared" si="7"/>
        <v>101</v>
      </c>
      <c r="F31" s="3">
        <f t="shared" si="7"/>
        <v>170</v>
      </c>
      <c r="G31" s="3"/>
      <c r="H31" s="3"/>
      <c r="I31" s="3"/>
      <c r="J31" s="3">
        <f t="shared" ref="J31:L31" si="8">SUM(J20:J30)</f>
        <v>315</v>
      </c>
      <c r="K31" s="3">
        <f t="shared" si="8"/>
        <v>165</v>
      </c>
      <c r="L31" s="3">
        <f t="shared" si="8"/>
        <v>150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8"/>
      <c r="B32" s="8" t="s">
        <v>29</v>
      </c>
      <c r="C32" s="18"/>
      <c r="D32" s="18"/>
      <c r="E32" s="18"/>
      <c r="F32" s="18"/>
      <c r="G32" s="18"/>
      <c r="H32" s="33" t="s">
        <v>29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9" t="s">
        <v>12</v>
      </c>
      <c r="C33" s="10" t="s">
        <v>13</v>
      </c>
      <c r="D33" s="11" t="s">
        <v>14</v>
      </c>
      <c r="E33" s="11" t="s">
        <v>15</v>
      </c>
      <c r="F33" s="11" t="s">
        <v>16</v>
      </c>
      <c r="G33" s="27"/>
      <c r="H33" s="9" t="s">
        <v>12</v>
      </c>
      <c r="I33" s="10" t="s">
        <v>13</v>
      </c>
      <c r="J33" s="11" t="s">
        <v>14</v>
      </c>
      <c r="K33" s="11" t="s">
        <v>15</v>
      </c>
      <c r="L33" s="11" t="s">
        <v>16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2" t="s">
        <v>17</v>
      </c>
      <c r="C34" s="23">
        <v>-579.65</v>
      </c>
      <c r="D34" s="23">
        <v>25.0</v>
      </c>
      <c r="E34" s="23">
        <v>11.0</v>
      </c>
      <c r="F34" s="23">
        <f t="shared" ref="F34:F44" si="9">D34-E34</f>
        <v>14</v>
      </c>
      <c r="G34" s="18"/>
      <c r="H34" s="22" t="s">
        <v>17</v>
      </c>
      <c r="I34" s="23">
        <v>-0.5</v>
      </c>
      <c r="J34" s="23">
        <v>33.0</v>
      </c>
      <c r="K34" s="23">
        <v>18.0</v>
      </c>
      <c r="L34" s="23">
        <f t="shared" ref="L34:L44" si="10">J34-K34</f>
        <v>15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2" t="s">
        <v>18</v>
      </c>
      <c r="C35" s="23">
        <v>-513.64</v>
      </c>
      <c r="D35" s="23">
        <v>26.0</v>
      </c>
      <c r="E35" s="23">
        <v>12.0</v>
      </c>
      <c r="F35" s="23">
        <f t="shared" si="9"/>
        <v>14</v>
      </c>
      <c r="G35" s="18"/>
      <c r="H35" s="22" t="s">
        <v>18</v>
      </c>
      <c r="I35" s="23">
        <v>252.54</v>
      </c>
      <c r="J35" s="23">
        <v>31.0</v>
      </c>
      <c r="K35" s="23">
        <v>15.0</v>
      </c>
      <c r="L35" s="23">
        <f t="shared" si="10"/>
        <v>16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2" t="s">
        <v>19</v>
      </c>
      <c r="C36" s="23">
        <v>355.3</v>
      </c>
      <c r="D36" s="23">
        <v>24.0</v>
      </c>
      <c r="E36" s="23">
        <v>11.0</v>
      </c>
      <c r="F36" s="23">
        <f t="shared" si="9"/>
        <v>13</v>
      </c>
      <c r="G36" s="18"/>
      <c r="H36" s="22" t="s">
        <v>19</v>
      </c>
      <c r="I36" s="23">
        <v>-814.7</v>
      </c>
      <c r="J36" s="23">
        <v>30.0</v>
      </c>
      <c r="K36" s="23">
        <v>14.0</v>
      </c>
      <c r="L36" s="23">
        <f t="shared" si="10"/>
        <v>16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2" t="s">
        <v>20</v>
      </c>
      <c r="C37" s="23">
        <v>435.83</v>
      </c>
      <c r="D37" s="23">
        <v>21.0</v>
      </c>
      <c r="E37" s="23">
        <v>11.0</v>
      </c>
      <c r="F37" s="23">
        <f t="shared" si="9"/>
        <v>10</v>
      </c>
      <c r="G37" s="18"/>
      <c r="H37" s="22" t="s">
        <v>20</v>
      </c>
      <c r="I37" s="23">
        <v>-622.82</v>
      </c>
      <c r="J37" s="23">
        <v>25.0</v>
      </c>
      <c r="K37" s="23">
        <v>9.0</v>
      </c>
      <c r="L37" s="23">
        <f t="shared" si="10"/>
        <v>16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2" t="s">
        <v>21</v>
      </c>
      <c r="C38" s="23">
        <v>-18.39</v>
      </c>
      <c r="D38" s="23">
        <v>31.0</v>
      </c>
      <c r="E38" s="23">
        <v>14.0</v>
      </c>
      <c r="F38" s="23">
        <f t="shared" si="9"/>
        <v>17</v>
      </c>
      <c r="G38" s="18"/>
      <c r="H38" s="22" t="s">
        <v>21</v>
      </c>
      <c r="I38" s="23">
        <v>-669.95</v>
      </c>
      <c r="J38" s="23">
        <v>32.0</v>
      </c>
      <c r="K38" s="23">
        <v>13.0</v>
      </c>
      <c r="L38" s="23">
        <f t="shared" si="10"/>
        <v>19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2" t="s">
        <v>22</v>
      </c>
      <c r="C39" s="23">
        <v>971.45</v>
      </c>
      <c r="D39" s="23">
        <v>28.0</v>
      </c>
      <c r="E39" s="23">
        <v>13.0</v>
      </c>
      <c r="F39" s="23">
        <f t="shared" si="9"/>
        <v>15</v>
      </c>
      <c r="G39" s="18"/>
      <c r="H39" s="22" t="s">
        <v>22</v>
      </c>
      <c r="I39" s="23">
        <v>-1717.65</v>
      </c>
      <c r="J39" s="23">
        <v>34.0</v>
      </c>
      <c r="K39" s="23">
        <v>12.0</v>
      </c>
      <c r="L39" s="23">
        <f t="shared" si="10"/>
        <v>22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2" t="s">
        <v>23</v>
      </c>
      <c r="C40" s="23">
        <v>764.0</v>
      </c>
      <c r="D40" s="23">
        <v>21.0</v>
      </c>
      <c r="E40" s="23">
        <v>13.0</v>
      </c>
      <c r="F40" s="23">
        <f t="shared" si="9"/>
        <v>8</v>
      </c>
      <c r="G40" s="18"/>
      <c r="H40" s="22" t="s">
        <v>23</v>
      </c>
      <c r="I40" s="23">
        <v>-315.0</v>
      </c>
      <c r="J40" s="23">
        <v>28.0</v>
      </c>
      <c r="K40" s="23">
        <v>16.0</v>
      </c>
      <c r="L40" s="23">
        <f t="shared" si="10"/>
        <v>12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2" t="s">
        <v>24</v>
      </c>
      <c r="C41" s="23">
        <v>1239.12</v>
      </c>
      <c r="D41" s="23">
        <v>30.0</v>
      </c>
      <c r="E41" s="23">
        <v>19.0</v>
      </c>
      <c r="F41" s="23">
        <f t="shared" si="9"/>
        <v>11</v>
      </c>
      <c r="G41" s="18"/>
      <c r="H41" s="22" t="s">
        <v>24</v>
      </c>
      <c r="I41" s="23">
        <v>-2297.99</v>
      </c>
      <c r="J41" s="23">
        <v>36.0</v>
      </c>
      <c r="K41" s="23">
        <v>10.0</v>
      </c>
      <c r="L41" s="23">
        <f t="shared" si="10"/>
        <v>26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2" t="s">
        <v>25</v>
      </c>
      <c r="C42" s="23">
        <v>191.3</v>
      </c>
      <c r="D42" s="23">
        <v>32.0</v>
      </c>
      <c r="E42" s="23">
        <v>14.0</v>
      </c>
      <c r="F42" s="23">
        <f t="shared" si="9"/>
        <v>18</v>
      </c>
      <c r="G42" s="18"/>
      <c r="H42" s="22" t="s">
        <v>25</v>
      </c>
      <c r="I42" s="23">
        <v>-1406.25</v>
      </c>
      <c r="J42" s="23">
        <v>38.0</v>
      </c>
      <c r="K42" s="23">
        <v>15.0</v>
      </c>
      <c r="L42" s="23">
        <f t="shared" si="10"/>
        <v>23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2" t="s">
        <v>26</v>
      </c>
      <c r="C43" s="23">
        <v>1394.26</v>
      </c>
      <c r="D43" s="23">
        <v>25.0</v>
      </c>
      <c r="E43" s="23">
        <v>16.0</v>
      </c>
      <c r="F43" s="23">
        <f t="shared" si="9"/>
        <v>9</v>
      </c>
      <c r="G43" s="18"/>
      <c r="H43" s="22" t="s">
        <v>26</v>
      </c>
      <c r="I43" s="23">
        <v>-1113.49</v>
      </c>
      <c r="J43" s="23">
        <v>33.0</v>
      </c>
      <c r="K43" s="23">
        <v>11.0</v>
      </c>
      <c r="L43" s="23">
        <f t="shared" si="10"/>
        <v>22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2" t="s">
        <v>27</v>
      </c>
      <c r="C44" s="23">
        <v>647.31</v>
      </c>
      <c r="D44" s="23">
        <v>39.0</v>
      </c>
      <c r="E44" s="23">
        <v>19.0</v>
      </c>
      <c r="F44" s="23">
        <f t="shared" si="9"/>
        <v>20</v>
      </c>
      <c r="G44" s="18"/>
      <c r="H44" s="22" t="s">
        <v>27</v>
      </c>
      <c r="I44" s="23">
        <v>-898.1</v>
      </c>
      <c r="J44" s="23">
        <v>43.0</v>
      </c>
      <c r="K44" s="23">
        <v>19.0</v>
      </c>
      <c r="L44" s="23">
        <f t="shared" si="10"/>
        <v>24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3"/>
      <c r="B45" s="3"/>
      <c r="C45" s="3"/>
      <c r="D45" s="3">
        <f t="shared" ref="D45:F45" si="11">SUM(D34:D44)</f>
        <v>302</v>
      </c>
      <c r="E45" s="3">
        <f t="shared" si="11"/>
        <v>153</v>
      </c>
      <c r="F45" s="3">
        <f t="shared" si="11"/>
        <v>149</v>
      </c>
      <c r="G45" s="3"/>
      <c r="H45" s="3"/>
      <c r="I45" s="3"/>
      <c r="J45" s="3">
        <f t="shared" ref="J45:L45" si="12">SUM(J34:J44)</f>
        <v>363</v>
      </c>
      <c r="K45" s="3">
        <f t="shared" si="12"/>
        <v>152</v>
      </c>
      <c r="L45" s="3">
        <f t="shared" si="12"/>
        <v>211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/>
      <c r="B46" s="8" t="s">
        <v>30</v>
      </c>
      <c r="C46" s="18"/>
      <c r="D46" s="18"/>
      <c r="E46" s="18"/>
      <c r="F46" s="18"/>
      <c r="G46" s="18"/>
      <c r="H46" s="8" t="s">
        <v>30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9" t="s">
        <v>12</v>
      </c>
      <c r="C47" s="10" t="s">
        <v>13</v>
      </c>
      <c r="D47" s="11" t="s">
        <v>14</v>
      </c>
      <c r="E47" s="11" t="s">
        <v>15</v>
      </c>
      <c r="F47" s="11" t="s">
        <v>16</v>
      </c>
      <c r="G47" s="3"/>
      <c r="H47" s="9" t="s">
        <v>12</v>
      </c>
      <c r="I47" s="10" t="s">
        <v>13</v>
      </c>
      <c r="J47" s="11" t="s">
        <v>14</v>
      </c>
      <c r="K47" s="11" t="s">
        <v>15</v>
      </c>
      <c r="L47" s="11" t="s">
        <v>16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2" t="s">
        <v>17</v>
      </c>
      <c r="C48" s="23">
        <v>403.2</v>
      </c>
      <c r="D48" s="23">
        <v>13.0</v>
      </c>
      <c r="E48" s="23">
        <v>7.0</v>
      </c>
      <c r="F48" s="23">
        <f t="shared" ref="F48:F58" si="13">D48-E48</f>
        <v>6</v>
      </c>
      <c r="G48" s="18"/>
      <c r="H48" s="22" t="s">
        <v>17</v>
      </c>
      <c r="I48" s="23">
        <v>523.74</v>
      </c>
      <c r="J48" s="23">
        <v>18.0</v>
      </c>
      <c r="K48" s="23">
        <v>8.0</v>
      </c>
      <c r="L48" s="23">
        <f t="shared" ref="L48:L58" si="14">J48-K48</f>
        <v>10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2" t="s">
        <v>18</v>
      </c>
      <c r="C49" s="23">
        <v>1529.65</v>
      </c>
      <c r="D49" s="23">
        <v>26.0</v>
      </c>
      <c r="E49" s="23">
        <v>15.0</v>
      </c>
      <c r="F49" s="23">
        <f t="shared" si="13"/>
        <v>11</v>
      </c>
      <c r="G49" s="18"/>
      <c r="H49" s="22" t="s">
        <v>18</v>
      </c>
      <c r="I49" s="23">
        <v>160.29</v>
      </c>
      <c r="J49" s="23">
        <v>27.0</v>
      </c>
      <c r="K49" s="23">
        <v>12.0</v>
      </c>
      <c r="L49" s="23">
        <f t="shared" si="14"/>
        <v>15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2" t="s">
        <v>19</v>
      </c>
      <c r="C50" s="23">
        <v>-657.24</v>
      </c>
      <c r="D50" s="23">
        <v>21.0</v>
      </c>
      <c r="E50" s="23">
        <v>8.0</v>
      </c>
      <c r="F50" s="23">
        <f t="shared" si="13"/>
        <v>13</v>
      </c>
      <c r="G50" s="18"/>
      <c r="H50" s="22" t="s">
        <v>19</v>
      </c>
      <c r="I50" s="23">
        <v>2150.55</v>
      </c>
      <c r="J50" s="23">
        <v>22.0</v>
      </c>
      <c r="K50" s="23">
        <v>15.0</v>
      </c>
      <c r="L50" s="23">
        <f t="shared" si="14"/>
        <v>7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2" t="s">
        <v>20</v>
      </c>
      <c r="C51" s="23">
        <v>1430.96</v>
      </c>
      <c r="D51" s="23">
        <v>20.0</v>
      </c>
      <c r="E51" s="23">
        <v>13.0</v>
      </c>
      <c r="F51" s="23">
        <f t="shared" si="13"/>
        <v>7</v>
      </c>
      <c r="G51" s="18"/>
      <c r="H51" s="22" t="s">
        <v>20</v>
      </c>
      <c r="I51" s="23">
        <v>1857.14</v>
      </c>
      <c r="J51" s="23">
        <v>27.0</v>
      </c>
      <c r="K51" s="23">
        <v>15.0</v>
      </c>
      <c r="L51" s="23">
        <f t="shared" si="14"/>
        <v>12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2" t="s">
        <v>21</v>
      </c>
      <c r="C52" s="23">
        <v>723.35</v>
      </c>
      <c r="D52" s="23">
        <v>23.0</v>
      </c>
      <c r="E52" s="23">
        <v>11.0</v>
      </c>
      <c r="F52" s="23">
        <f t="shared" si="13"/>
        <v>12</v>
      </c>
      <c r="G52" s="18"/>
      <c r="H52" s="22" t="s">
        <v>21</v>
      </c>
      <c r="I52" s="23">
        <v>482.14</v>
      </c>
      <c r="J52" s="23">
        <v>26.0</v>
      </c>
      <c r="K52" s="23">
        <v>13.0</v>
      </c>
      <c r="L52" s="23">
        <f t="shared" si="14"/>
        <v>13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2" t="s">
        <v>22</v>
      </c>
      <c r="C53" s="23">
        <v>1483.2</v>
      </c>
      <c r="D53" s="23">
        <v>23.0</v>
      </c>
      <c r="E53" s="23">
        <v>10.0</v>
      </c>
      <c r="F53" s="23">
        <f t="shared" si="13"/>
        <v>13</v>
      </c>
      <c r="G53" s="18"/>
      <c r="H53" s="22" t="s">
        <v>22</v>
      </c>
      <c r="I53" s="23">
        <v>-1937.0</v>
      </c>
      <c r="J53" s="23">
        <v>35.0</v>
      </c>
      <c r="K53" s="23">
        <v>10.0</v>
      </c>
      <c r="L53" s="23">
        <f t="shared" si="14"/>
        <v>25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2" t="s">
        <v>23</v>
      </c>
      <c r="C54" s="23">
        <v>1033.9</v>
      </c>
      <c r="D54" s="23">
        <v>18.0</v>
      </c>
      <c r="E54" s="23">
        <v>12.0</v>
      </c>
      <c r="F54" s="23">
        <f t="shared" si="13"/>
        <v>6</v>
      </c>
      <c r="G54" s="18"/>
      <c r="H54" s="22" t="s">
        <v>23</v>
      </c>
      <c r="I54" s="23">
        <v>-541.05</v>
      </c>
      <c r="J54" s="23">
        <v>23.0</v>
      </c>
      <c r="K54" s="23">
        <v>10.0</v>
      </c>
      <c r="L54" s="23">
        <f t="shared" si="14"/>
        <v>13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2" t="s">
        <v>24</v>
      </c>
      <c r="C55" s="23">
        <v>307.41</v>
      </c>
      <c r="D55" s="23">
        <v>20.0</v>
      </c>
      <c r="E55" s="23">
        <v>10.0</v>
      </c>
      <c r="F55" s="23">
        <f t="shared" si="13"/>
        <v>10</v>
      </c>
      <c r="G55" s="18"/>
      <c r="H55" s="22" t="s">
        <v>24</v>
      </c>
      <c r="I55" s="23">
        <v>-617.65</v>
      </c>
      <c r="J55" s="23">
        <v>25.0</v>
      </c>
      <c r="K55" s="23">
        <v>8.0</v>
      </c>
      <c r="L55" s="23">
        <f t="shared" si="14"/>
        <v>17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2" t="s">
        <v>25</v>
      </c>
      <c r="C56" s="23">
        <v>589.05</v>
      </c>
      <c r="D56" s="23">
        <v>28.0</v>
      </c>
      <c r="E56" s="23">
        <v>15.0</v>
      </c>
      <c r="F56" s="23">
        <f t="shared" si="13"/>
        <v>13</v>
      </c>
      <c r="G56" s="18"/>
      <c r="H56" s="22" t="s">
        <v>25</v>
      </c>
      <c r="I56" s="23">
        <v>-1070.6</v>
      </c>
      <c r="J56" s="23">
        <v>36.0</v>
      </c>
      <c r="K56" s="23">
        <v>13.0</v>
      </c>
      <c r="L56" s="23">
        <f t="shared" si="14"/>
        <v>23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2" t="s">
        <v>26</v>
      </c>
      <c r="C57" s="23">
        <v>-183.26</v>
      </c>
      <c r="D57" s="23">
        <v>34.0</v>
      </c>
      <c r="E57" s="23">
        <v>13.0</v>
      </c>
      <c r="F57" s="23">
        <f t="shared" si="13"/>
        <v>21</v>
      </c>
      <c r="G57" s="18"/>
      <c r="H57" s="22" t="s">
        <v>26</v>
      </c>
      <c r="I57" s="23">
        <v>-159.17</v>
      </c>
      <c r="J57" s="23">
        <v>41.0</v>
      </c>
      <c r="K57" s="23">
        <v>14.0</v>
      </c>
      <c r="L57" s="23">
        <f t="shared" si="14"/>
        <v>27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2" t="s">
        <v>27</v>
      </c>
      <c r="C58" s="23">
        <v>-688.64</v>
      </c>
      <c r="D58" s="23">
        <v>22.0</v>
      </c>
      <c r="E58" s="23">
        <v>9.0</v>
      </c>
      <c r="F58" s="23">
        <f t="shared" si="13"/>
        <v>13</v>
      </c>
      <c r="G58" s="18"/>
      <c r="H58" s="22" t="s">
        <v>27</v>
      </c>
      <c r="I58" s="23">
        <v>-1417.5</v>
      </c>
      <c r="J58" s="23">
        <v>24.0</v>
      </c>
      <c r="K58" s="23">
        <v>9.0</v>
      </c>
      <c r="L58" s="23">
        <f t="shared" si="14"/>
        <v>15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3"/>
      <c r="B59" s="3"/>
      <c r="C59" s="3"/>
      <c r="D59" s="3">
        <f t="shared" ref="D59:F59" si="15">SUM(D48:D58)</f>
        <v>248</v>
      </c>
      <c r="E59" s="3">
        <f t="shared" si="15"/>
        <v>123</v>
      </c>
      <c r="F59" s="3">
        <f t="shared" si="15"/>
        <v>125</v>
      </c>
      <c r="G59" s="3"/>
      <c r="H59" s="3"/>
      <c r="I59" s="3"/>
      <c r="J59" s="3">
        <f t="shared" ref="J59:L59" si="16">SUM(J48:J58)</f>
        <v>304</v>
      </c>
      <c r="K59" s="3">
        <f t="shared" si="16"/>
        <v>127</v>
      </c>
      <c r="L59" s="3">
        <f t="shared" si="16"/>
        <v>177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3"/>
      <c r="B60" s="3"/>
      <c r="C60" s="15" t="s">
        <v>31</v>
      </c>
      <c r="D60" s="3">
        <f t="shared" ref="D60:F60" si="17">D59+D45+D31+D17</f>
        <v>1133</v>
      </c>
      <c r="E60" s="3">
        <f t="shared" si="17"/>
        <v>539</v>
      </c>
      <c r="F60" s="3">
        <f t="shared" si="17"/>
        <v>594</v>
      </c>
      <c r="G60" s="3"/>
      <c r="H60" s="3"/>
      <c r="I60" s="15" t="s">
        <v>32</v>
      </c>
      <c r="J60" s="3">
        <f t="shared" ref="J60:L60" si="18">J59+J45+J31+J17</f>
        <v>1329</v>
      </c>
      <c r="K60" s="3">
        <f t="shared" si="18"/>
        <v>596</v>
      </c>
      <c r="L60" s="3">
        <f t="shared" si="18"/>
        <v>733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3"/>
      <c r="B61" s="3"/>
      <c r="C61" s="15" t="s">
        <v>33</v>
      </c>
      <c r="D61" s="3">
        <f t="shared" ref="D61:F61" si="19">D60+J60</f>
        <v>2462</v>
      </c>
      <c r="E61" s="3">
        <f t="shared" si="19"/>
        <v>1135</v>
      </c>
      <c r="F61" s="3">
        <f t="shared" si="19"/>
        <v>1327</v>
      </c>
      <c r="G61" s="3"/>
      <c r="H61" s="3"/>
      <c r="I61" s="3"/>
      <c r="J61" s="3"/>
      <c r="K61" s="3"/>
      <c r="L61" s="3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3"/>
      <c r="B62" s="3"/>
      <c r="C62" s="15" t="s">
        <v>34</v>
      </c>
      <c r="D62" s="16">
        <f>E61/D61</f>
        <v>0.4610073111</v>
      </c>
      <c r="E62" s="3"/>
      <c r="F62" s="3"/>
      <c r="G62" s="3"/>
      <c r="H62" s="3"/>
      <c r="I62" s="3"/>
      <c r="J62" s="3"/>
      <c r="K62" s="3"/>
      <c r="L62" s="3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3"/>
      <c r="B63" s="3"/>
      <c r="C63" s="15" t="s">
        <v>35</v>
      </c>
      <c r="D63" s="17">
        <f>1-D62</f>
        <v>0.5389926889</v>
      </c>
      <c r="E63" s="3"/>
      <c r="F63" s="3"/>
      <c r="G63" s="3"/>
      <c r="H63" s="3"/>
      <c r="I63" s="3"/>
      <c r="J63" s="3"/>
      <c r="K63" s="3"/>
      <c r="L63" s="3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B1:L1"/>
    <mergeCell ref="B3:F3"/>
    <mergeCell ref="H3:L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63"/>
    <col customWidth="1" min="5" max="5" width="13.5"/>
    <col customWidth="1" min="6" max="6" width="13.38"/>
    <col customWidth="1" min="10" max="10" width="17.38"/>
    <col customWidth="1" min="11" max="11" width="13.38"/>
    <col customWidth="1" min="12" max="12" width="14.63"/>
  </cols>
  <sheetData>
    <row r="1">
      <c r="A1" s="20"/>
      <c r="B1" s="19" t="s">
        <v>8</v>
      </c>
      <c r="C1" s="5"/>
      <c r="D1" s="5"/>
      <c r="E1" s="5"/>
      <c r="F1" s="5"/>
      <c r="G1" s="5"/>
      <c r="H1" s="5"/>
      <c r="I1" s="5"/>
      <c r="J1" s="5"/>
      <c r="K1" s="5"/>
      <c r="L1" s="6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7" t="s">
        <v>9</v>
      </c>
      <c r="C3" s="5"/>
      <c r="D3" s="5"/>
      <c r="E3" s="5"/>
      <c r="F3" s="6"/>
      <c r="G3" s="18"/>
      <c r="H3" s="7" t="s">
        <v>10</v>
      </c>
      <c r="I3" s="5"/>
      <c r="J3" s="5"/>
      <c r="K3" s="5"/>
      <c r="L3" s="6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8" t="s">
        <v>11</v>
      </c>
      <c r="C4" s="20"/>
      <c r="D4" s="20"/>
      <c r="E4" s="20"/>
      <c r="F4" s="20"/>
      <c r="G4" s="18"/>
      <c r="H4" s="8" t="s">
        <v>11</v>
      </c>
      <c r="I4" s="20"/>
      <c r="J4" s="20"/>
      <c r="K4" s="20"/>
      <c r="L4" s="20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9" t="s">
        <v>12</v>
      </c>
      <c r="C5" s="10" t="s">
        <v>13</v>
      </c>
      <c r="D5" s="11" t="s">
        <v>14</v>
      </c>
      <c r="E5" s="11" t="s">
        <v>15</v>
      </c>
      <c r="F5" s="11" t="s">
        <v>16</v>
      </c>
      <c r="G5" s="3"/>
      <c r="H5" s="9" t="s">
        <v>12</v>
      </c>
      <c r="I5" s="10" t="s">
        <v>13</v>
      </c>
      <c r="J5" s="11" t="s">
        <v>14</v>
      </c>
      <c r="K5" s="11" t="s">
        <v>15</v>
      </c>
      <c r="L5" s="11" t="s">
        <v>16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1"/>
      <c r="B6" s="22" t="s">
        <v>17</v>
      </c>
      <c r="C6" s="23">
        <v>159.65</v>
      </c>
      <c r="D6" s="23">
        <v>58.0</v>
      </c>
      <c r="E6" s="23">
        <v>27.0</v>
      </c>
      <c r="F6" s="23">
        <f t="shared" ref="F6:F16" si="1">D6-E6</f>
        <v>31</v>
      </c>
      <c r="G6" s="18"/>
      <c r="H6" s="22" t="s">
        <v>17</v>
      </c>
      <c r="I6" s="23">
        <v>-882.6</v>
      </c>
      <c r="J6" s="23">
        <v>66.0</v>
      </c>
      <c r="K6" s="23">
        <v>35.0</v>
      </c>
      <c r="L6" s="23">
        <f t="shared" ref="L6:L16" si="2">J6-K6</f>
        <v>31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4"/>
      <c r="B7" s="22" t="s">
        <v>18</v>
      </c>
      <c r="C7" s="23">
        <v>-21.04</v>
      </c>
      <c r="D7" s="23">
        <v>64.0</v>
      </c>
      <c r="E7" s="23">
        <v>28.0</v>
      </c>
      <c r="F7" s="23">
        <f t="shared" si="1"/>
        <v>36</v>
      </c>
      <c r="G7" s="18"/>
      <c r="H7" s="22" t="s">
        <v>18</v>
      </c>
      <c r="I7" s="23">
        <v>1474.84</v>
      </c>
      <c r="J7" s="23">
        <v>69.0</v>
      </c>
      <c r="K7" s="23">
        <v>39.0</v>
      </c>
      <c r="L7" s="23">
        <f t="shared" si="2"/>
        <v>30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/>
      <c r="B8" s="22" t="s">
        <v>19</v>
      </c>
      <c r="C8" s="23">
        <v>-303.14</v>
      </c>
      <c r="D8" s="23">
        <v>60.0</v>
      </c>
      <c r="E8" s="23">
        <v>32.0</v>
      </c>
      <c r="F8" s="23">
        <f t="shared" si="1"/>
        <v>28</v>
      </c>
      <c r="G8" s="18"/>
      <c r="H8" s="22" t="s">
        <v>19</v>
      </c>
      <c r="I8" s="23">
        <v>-1595.9</v>
      </c>
      <c r="J8" s="23">
        <v>61.0</v>
      </c>
      <c r="K8" s="23">
        <v>24.0</v>
      </c>
      <c r="L8" s="23">
        <f t="shared" si="2"/>
        <v>37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4"/>
      <c r="B9" s="22" t="s">
        <v>20</v>
      </c>
      <c r="C9" s="23">
        <v>2299.28</v>
      </c>
      <c r="D9" s="23">
        <v>75.0</v>
      </c>
      <c r="E9" s="23">
        <v>35.0</v>
      </c>
      <c r="F9" s="23">
        <f t="shared" si="1"/>
        <v>40</v>
      </c>
      <c r="G9" s="18"/>
      <c r="H9" s="22" t="s">
        <v>20</v>
      </c>
      <c r="I9" s="23">
        <v>-1618.4</v>
      </c>
      <c r="J9" s="23">
        <v>70.0</v>
      </c>
      <c r="K9" s="23">
        <v>30.0</v>
      </c>
      <c r="L9" s="23">
        <f t="shared" si="2"/>
        <v>40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1"/>
      <c r="B10" s="22" t="s">
        <v>21</v>
      </c>
      <c r="C10" s="23">
        <v>2319.6</v>
      </c>
      <c r="D10" s="23">
        <v>57.0</v>
      </c>
      <c r="E10" s="23">
        <v>32.0</v>
      </c>
      <c r="F10" s="23">
        <f t="shared" si="1"/>
        <v>25</v>
      </c>
      <c r="G10" s="18"/>
      <c r="H10" s="22" t="s">
        <v>21</v>
      </c>
      <c r="I10" s="23">
        <v>-2509.5</v>
      </c>
      <c r="J10" s="23">
        <v>77.0</v>
      </c>
      <c r="K10" s="23">
        <v>30.0</v>
      </c>
      <c r="L10" s="23">
        <f t="shared" si="2"/>
        <v>47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1"/>
      <c r="B11" s="22" t="s">
        <v>22</v>
      </c>
      <c r="C11" s="23">
        <v>2829.4</v>
      </c>
      <c r="D11" s="23">
        <v>67.0</v>
      </c>
      <c r="E11" s="23">
        <v>38.0</v>
      </c>
      <c r="F11" s="23">
        <f t="shared" si="1"/>
        <v>29</v>
      </c>
      <c r="G11" s="18"/>
      <c r="H11" s="22" t="s">
        <v>22</v>
      </c>
      <c r="I11" s="23">
        <v>-725.85</v>
      </c>
      <c r="J11" s="23">
        <v>85.0</v>
      </c>
      <c r="K11" s="23">
        <v>36.0</v>
      </c>
      <c r="L11" s="23">
        <f t="shared" si="2"/>
        <v>49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4"/>
      <c r="B12" s="22" t="s">
        <v>23</v>
      </c>
      <c r="C12" s="23">
        <v>1517.7</v>
      </c>
      <c r="D12" s="23">
        <v>56.0</v>
      </c>
      <c r="E12" s="23">
        <v>34.0</v>
      </c>
      <c r="F12" s="23">
        <f t="shared" si="1"/>
        <v>22</v>
      </c>
      <c r="G12" s="18"/>
      <c r="H12" s="22" t="s">
        <v>23</v>
      </c>
      <c r="I12" s="23">
        <v>-102.9</v>
      </c>
      <c r="J12" s="23">
        <v>66.0</v>
      </c>
      <c r="K12" s="23">
        <v>32.0</v>
      </c>
      <c r="L12" s="23">
        <f t="shared" si="2"/>
        <v>34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1"/>
      <c r="B13" s="22" t="s">
        <v>24</v>
      </c>
      <c r="C13" s="23">
        <v>1063.42</v>
      </c>
      <c r="D13" s="23">
        <v>65.0</v>
      </c>
      <c r="E13" s="23">
        <v>31.0</v>
      </c>
      <c r="F13" s="23">
        <f t="shared" si="1"/>
        <v>34</v>
      </c>
      <c r="G13" s="18"/>
      <c r="H13" s="22" t="s">
        <v>24</v>
      </c>
      <c r="I13" s="23">
        <v>-1952.77</v>
      </c>
      <c r="J13" s="23">
        <v>73.0</v>
      </c>
      <c r="K13" s="23">
        <v>31.0</v>
      </c>
      <c r="L13" s="23">
        <f t="shared" si="2"/>
        <v>42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4"/>
      <c r="B14" s="22" t="s">
        <v>25</v>
      </c>
      <c r="C14" s="23">
        <v>634.86</v>
      </c>
      <c r="D14" s="23">
        <v>64.0</v>
      </c>
      <c r="E14" s="23">
        <v>31.0</v>
      </c>
      <c r="F14" s="23">
        <f t="shared" si="1"/>
        <v>33</v>
      </c>
      <c r="G14" s="18"/>
      <c r="H14" s="22" t="s">
        <v>25</v>
      </c>
      <c r="I14" s="23">
        <v>-788.89</v>
      </c>
      <c r="J14" s="23">
        <v>77.0</v>
      </c>
      <c r="K14" s="23">
        <v>30.0</v>
      </c>
      <c r="L14" s="23">
        <f t="shared" si="2"/>
        <v>47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1"/>
      <c r="B15" s="22" t="s">
        <v>26</v>
      </c>
      <c r="C15" s="23">
        <v>-628.59</v>
      </c>
      <c r="D15" s="23">
        <v>81.0</v>
      </c>
      <c r="E15" s="23">
        <v>38.0</v>
      </c>
      <c r="F15" s="23">
        <f t="shared" si="1"/>
        <v>43</v>
      </c>
      <c r="G15" s="18"/>
      <c r="H15" s="22" t="s">
        <v>26</v>
      </c>
      <c r="I15" s="23">
        <v>-2388.66</v>
      </c>
      <c r="J15" s="23">
        <v>84.0</v>
      </c>
      <c r="K15" s="23">
        <v>30.0</v>
      </c>
      <c r="L15" s="23">
        <f t="shared" si="2"/>
        <v>54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2" t="s">
        <v>27</v>
      </c>
      <c r="C16" s="23">
        <v>-236.19</v>
      </c>
      <c r="D16" s="23">
        <v>69.0</v>
      </c>
      <c r="E16" s="23">
        <v>36.0</v>
      </c>
      <c r="F16" s="23">
        <f t="shared" si="1"/>
        <v>33</v>
      </c>
      <c r="G16" s="18"/>
      <c r="H16" s="22" t="s">
        <v>27</v>
      </c>
      <c r="I16" s="23">
        <v>456.73</v>
      </c>
      <c r="J16" s="23">
        <v>73.0</v>
      </c>
      <c r="K16" s="23">
        <v>34.0</v>
      </c>
      <c r="L16" s="23">
        <f t="shared" si="2"/>
        <v>39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3"/>
      <c r="B17" s="3"/>
      <c r="C17" s="3"/>
      <c r="D17" s="3">
        <f t="shared" ref="D17:F17" si="3">SUM(D6:D16)</f>
        <v>716</v>
      </c>
      <c r="E17" s="3">
        <f t="shared" si="3"/>
        <v>362</v>
      </c>
      <c r="F17" s="3">
        <f t="shared" si="3"/>
        <v>354</v>
      </c>
      <c r="G17" s="3"/>
      <c r="H17" s="3"/>
      <c r="I17" s="3"/>
      <c r="J17" s="3">
        <f t="shared" ref="J17:L17" si="4">SUM(J6:J16)</f>
        <v>801</v>
      </c>
      <c r="K17" s="3">
        <f t="shared" si="4"/>
        <v>351</v>
      </c>
      <c r="L17" s="3">
        <f t="shared" si="4"/>
        <v>450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/>
      <c r="B18" s="8" t="s">
        <v>28</v>
      </c>
      <c r="C18" s="18"/>
      <c r="D18" s="18"/>
      <c r="E18" s="18"/>
      <c r="F18" s="18"/>
      <c r="G18" s="18"/>
      <c r="H18" s="8" t="s">
        <v>28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9" t="s">
        <v>12</v>
      </c>
      <c r="C19" s="10" t="s">
        <v>13</v>
      </c>
      <c r="D19" s="11" t="s">
        <v>14</v>
      </c>
      <c r="E19" s="11" t="s">
        <v>15</v>
      </c>
      <c r="F19" s="11" t="s">
        <v>16</v>
      </c>
      <c r="G19" s="3"/>
      <c r="H19" s="9" t="s">
        <v>12</v>
      </c>
      <c r="I19" s="10" t="s">
        <v>13</v>
      </c>
      <c r="J19" s="11" t="s">
        <v>14</v>
      </c>
      <c r="K19" s="11" t="s">
        <v>15</v>
      </c>
      <c r="L19" s="11" t="s">
        <v>16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2" t="s">
        <v>17</v>
      </c>
      <c r="C20" s="23">
        <v>210.95</v>
      </c>
      <c r="D20" s="23">
        <v>65.0</v>
      </c>
      <c r="E20" s="23">
        <v>35.0</v>
      </c>
      <c r="F20" s="23">
        <f t="shared" ref="F20:F30" si="5">D20-E20</f>
        <v>30</v>
      </c>
      <c r="G20" s="18"/>
      <c r="H20" s="22" t="s">
        <v>17</v>
      </c>
      <c r="I20" s="23">
        <v>276.34</v>
      </c>
      <c r="J20" s="23">
        <v>56.0</v>
      </c>
      <c r="K20" s="23">
        <v>30.0</v>
      </c>
      <c r="L20" s="23">
        <f t="shared" ref="L20:L30" si="6">J20-K20</f>
        <v>26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2" t="s">
        <v>18</v>
      </c>
      <c r="C21" s="23">
        <v>-366.4</v>
      </c>
      <c r="D21" s="23">
        <v>61.0</v>
      </c>
      <c r="E21" s="23">
        <v>29.0</v>
      </c>
      <c r="F21" s="23">
        <f t="shared" si="5"/>
        <v>32</v>
      </c>
      <c r="G21" s="18"/>
      <c r="H21" s="22" t="s">
        <v>18</v>
      </c>
      <c r="I21" s="23">
        <v>1498.6</v>
      </c>
      <c r="J21" s="23">
        <v>65.0</v>
      </c>
      <c r="K21" s="23">
        <v>40.0</v>
      </c>
      <c r="L21" s="23">
        <f t="shared" si="6"/>
        <v>25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2" t="s">
        <v>19</v>
      </c>
      <c r="C22" s="23">
        <v>-891.04</v>
      </c>
      <c r="D22" s="23">
        <v>69.0</v>
      </c>
      <c r="E22" s="23">
        <v>35.0</v>
      </c>
      <c r="F22" s="23">
        <f t="shared" si="5"/>
        <v>34</v>
      </c>
      <c r="G22" s="18"/>
      <c r="H22" s="22" t="s">
        <v>19</v>
      </c>
      <c r="I22" s="23">
        <v>782.29</v>
      </c>
      <c r="J22" s="23">
        <v>56.0</v>
      </c>
      <c r="K22" s="23">
        <v>32.0</v>
      </c>
      <c r="L22" s="23">
        <f t="shared" si="6"/>
        <v>24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2" t="s">
        <v>20</v>
      </c>
      <c r="C23" s="23">
        <v>-2482.21</v>
      </c>
      <c r="D23" s="23">
        <v>67.0</v>
      </c>
      <c r="E23" s="23">
        <v>24.0</v>
      </c>
      <c r="F23" s="23">
        <f t="shared" si="5"/>
        <v>43</v>
      </c>
      <c r="G23" s="18"/>
      <c r="H23" s="22" t="s">
        <v>20</v>
      </c>
      <c r="I23" s="23">
        <v>1310.03</v>
      </c>
      <c r="J23" s="23">
        <v>66.0</v>
      </c>
      <c r="K23" s="23">
        <v>36.0</v>
      </c>
      <c r="L23" s="23">
        <f t="shared" si="6"/>
        <v>30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2" t="s">
        <v>21</v>
      </c>
      <c r="C24" s="23">
        <v>-947.59</v>
      </c>
      <c r="D24" s="23">
        <v>81.0</v>
      </c>
      <c r="E24" s="23">
        <v>35.0</v>
      </c>
      <c r="F24" s="23">
        <f t="shared" si="5"/>
        <v>46</v>
      </c>
      <c r="G24" s="18"/>
      <c r="H24" s="22" t="s">
        <v>21</v>
      </c>
      <c r="I24" s="23">
        <v>266.19</v>
      </c>
      <c r="J24" s="23">
        <v>65.0</v>
      </c>
      <c r="K24" s="23">
        <v>29.0</v>
      </c>
      <c r="L24" s="23">
        <f t="shared" si="6"/>
        <v>36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2" t="s">
        <v>22</v>
      </c>
      <c r="C25" s="23">
        <v>-2671.34</v>
      </c>
      <c r="D25" s="23">
        <v>78.0</v>
      </c>
      <c r="E25" s="23">
        <v>25.0</v>
      </c>
      <c r="F25" s="23">
        <f t="shared" si="5"/>
        <v>53</v>
      </c>
      <c r="G25" s="18"/>
      <c r="H25" s="22" t="s">
        <v>22</v>
      </c>
      <c r="I25" s="23">
        <v>3761.64</v>
      </c>
      <c r="J25" s="23">
        <v>67.0</v>
      </c>
      <c r="K25" s="23">
        <v>43.0</v>
      </c>
      <c r="L25" s="23">
        <f t="shared" si="6"/>
        <v>24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2" t="s">
        <v>23</v>
      </c>
      <c r="C26" s="23">
        <v>342.1</v>
      </c>
      <c r="D26" s="23">
        <v>58.0</v>
      </c>
      <c r="E26" s="23">
        <v>29.0</v>
      </c>
      <c r="F26" s="23">
        <f t="shared" si="5"/>
        <v>29</v>
      </c>
      <c r="G26" s="18"/>
      <c r="H26" s="22" t="s">
        <v>23</v>
      </c>
      <c r="I26" s="23">
        <v>955.79</v>
      </c>
      <c r="J26" s="23">
        <v>63.0</v>
      </c>
      <c r="K26" s="23">
        <v>34.0</v>
      </c>
      <c r="L26" s="23">
        <f t="shared" si="6"/>
        <v>29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2" t="s">
        <v>24</v>
      </c>
      <c r="C27" s="23">
        <v>-1957.76</v>
      </c>
      <c r="D27" s="23">
        <v>65.0</v>
      </c>
      <c r="E27" s="23">
        <v>26.0</v>
      </c>
      <c r="F27" s="23">
        <f t="shared" si="5"/>
        <v>39</v>
      </c>
      <c r="G27" s="18"/>
      <c r="H27" s="22" t="s">
        <v>24</v>
      </c>
      <c r="I27" s="23">
        <v>1467.42</v>
      </c>
      <c r="J27" s="23">
        <v>67.0</v>
      </c>
      <c r="K27" s="23">
        <v>41.0</v>
      </c>
      <c r="L27" s="23">
        <f t="shared" si="6"/>
        <v>26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2" t="s">
        <v>25</v>
      </c>
      <c r="C28" s="23">
        <v>-2124.46</v>
      </c>
      <c r="D28" s="23">
        <v>67.0</v>
      </c>
      <c r="E28" s="23">
        <v>26.0</v>
      </c>
      <c r="F28" s="23">
        <f t="shared" si="5"/>
        <v>41</v>
      </c>
      <c r="G28" s="18"/>
      <c r="H28" s="22" t="s">
        <v>25</v>
      </c>
      <c r="I28" s="23">
        <v>644.0</v>
      </c>
      <c r="J28" s="23">
        <v>68.0</v>
      </c>
      <c r="K28" s="23">
        <v>34.0</v>
      </c>
      <c r="L28" s="23">
        <f t="shared" si="6"/>
        <v>34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2" t="s">
        <v>26</v>
      </c>
      <c r="C29" s="23">
        <v>-1460.49</v>
      </c>
      <c r="D29" s="23">
        <v>70.0</v>
      </c>
      <c r="E29" s="23">
        <v>24.0</v>
      </c>
      <c r="F29" s="23">
        <f t="shared" si="5"/>
        <v>46</v>
      </c>
      <c r="G29" s="18"/>
      <c r="H29" s="22" t="s">
        <v>26</v>
      </c>
      <c r="I29" s="23">
        <v>2833.88</v>
      </c>
      <c r="J29" s="23">
        <v>72.0</v>
      </c>
      <c r="K29" s="23">
        <v>38.0</v>
      </c>
      <c r="L29" s="23">
        <f t="shared" si="6"/>
        <v>34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2" t="s">
        <v>27</v>
      </c>
      <c r="C30" s="23">
        <v>-2276.07</v>
      </c>
      <c r="D30" s="23">
        <v>70.0</v>
      </c>
      <c r="E30" s="23">
        <v>28.0</v>
      </c>
      <c r="F30" s="23">
        <f t="shared" si="5"/>
        <v>42</v>
      </c>
      <c r="G30" s="18"/>
      <c r="H30" s="22" t="s">
        <v>27</v>
      </c>
      <c r="I30" s="23">
        <v>2390.99</v>
      </c>
      <c r="J30" s="23">
        <v>61.0</v>
      </c>
      <c r="K30" s="23">
        <v>35.0</v>
      </c>
      <c r="L30" s="23">
        <f t="shared" si="6"/>
        <v>26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3"/>
      <c r="B31" s="3"/>
      <c r="C31" s="3"/>
      <c r="D31" s="3">
        <f t="shared" ref="D31:F31" si="7">SUM(D20:D30)</f>
        <v>751</v>
      </c>
      <c r="E31" s="3">
        <f t="shared" si="7"/>
        <v>316</v>
      </c>
      <c r="F31" s="3">
        <f t="shared" si="7"/>
        <v>435</v>
      </c>
      <c r="G31" s="3"/>
      <c r="H31" s="3"/>
      <c r="I31" s="3"/>
      <c r="J31" s="3">
        <f t="shared" ref="J31:L31" si="8">SUM(J20:J30)</f>
        <v>706</v>
      </c>
      <c r="K31" s="3">
        <f t="shared" si="8"/>
        <v>392</v>
      </c>
      <c r="L31" s="3">
        <f t="shared" si="8"/>
        <v>314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8"/>
      <c r="B32" s="8" t="s">
        <v>29</v>
      </c>
      <c r="C32" s="18"/>
      <c r="D32" s="18"/>
      <c r="E32" s="18"/>
      <c r="F32" s="18"/>
      <c r="G32" s="18"/>
      <c r="H32" s="8" t="s">
        <v>29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9" t="s">
        <v>12</v>
      </c>
      <c r="C33" s="10" t="s">
        <v>13</v>
      </c>
      <c r="D33" s="11" t="s">
        <v>14</v>
      </c>
      <c r="E33" s="11" t="s">
        <v>15</v>
      </c>
      <c r="F33" s="11" t="s">
        <v>16</v>
      </c>
      <c r="G33" s="27"/>
      <c r="H33" s="9" t="s">
        <v>12</v>
      </c>
      <c r="I33" s="10" t="s">
        <v>13</v>
      </c>
      <c r="J33" s="11" t="s">
        <v>14</v>
      </c>
      <c r="K33" s="11" t="s">
        <v>15</v>
      </c>
      <c r="L33" s="11" t="s">
        <v>16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2" t="s">
        <v>17</v>
      </c>
      <c r="C34" s="23">
        <v>331.75</v>
      </c>
      <c r="D34" s="23">
        <v>57.0</v>
      </c>
      <c r="E34" s="23">
        <v>32.0</v>
      </c>
      <c r="F34" s="23">
        <f t="shared" ref="F34:F44" si="9">D34-E34</f>
        <v>25</v>
      </c>
      <c r="G34" s="18"/>
      <c r="H34" s="22" t="s">
        <v>17</v>
      </c>
      <c r="I34" s="23">
        <v>377.84</v>
      </c>
      <c r="J34" s="23">
        <v>64.0</v>
      </c>
      <c r="K34" s="23">
        <v>38.0</v>
      </c>
      <c r="L34" s="23">
        <f t="shared" ref="L34:L44" si="10">J34-K34</f>
        <v>26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2" t="s">
        <v>18</v>
      </c>
      <c r="C35" s="23">
        <v>20.0</v>
      </c>
      <c r="D35" s="23">
        <v>58.0</v>
      </c>
      <c r="E35" s="23">
        <v>26.0</v>
      </c>
      <c r="F35" s="23">
        <f t="shared" si="9"/>
        <v>32</v>
      </c>
      <c r="G35" s="18"/>
      <c r="H35" s="22" t="s">
        <v>18</v>
      </c>
      <c r="I35" s="23">
        <v>271.39</v>
      </c>
      <c r="J35" s="23">
        <v>60.0</v>
      </c>
      <c r="K35" s="23">
        <v>27.0</v>
      </c>
      <c r="L35" s="23">
        <f t="shared" si="10"/>
        <v>33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2" t="s">
        <v>19</v>
      </c>
      <c r="C36" s="23">
        <v>995.39</v>
      </c>
      <c r="D36" s="23">
        <v>61.0</v>
      </c>
      <c r="E36" s="23">
        <v>33.0</v>
      </c>
      <c r="F36" s="23">
        <f t="shared" si="9"/>
        <v>28</v>
      </c>
      <c r="G36" s="18"/>
      <c r="H36" s="22" t="s">
        <v>19</v>
      </c>
      <c r="I36" s="23">
        <v>966.7</v>
      </c>
      <c r="J36" s="23">
        <v>64.0</v>
      </c>
      <c r="K36" s="23">
        <v>38.0</v>
      </c>
      <c r="L36" s="23">
        <f t="shared" si="10"/>
        <v>26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2" t="s">
        <v>20</v>
      </c>
      <c r="C37" s="23">
        <v>-3984.33</v>
      </c>
      <c r="D37" s="23">
        <v>75.0</v>
      </c>
      <c r="E37" s="23">
        <v>27.0</v>
      </c>
      <c r="F37" s="23">
        <f t="shared" si="9"/>
        <v>48</v>
      </c>
      <c r="G37" s="18"/>
      <c r="H37" s="22" t="s">
        <v>20</v>
      </c>
      <c r="I37" s="23">
        <v>1712.72</v>
      </c>
      <c r="J37" s="23">
        <v>65.0</v>
      </c>
      <c r="K37" s="23">
        <v>35.0</v>
      </c>
      <c r="L37" s="23">
        <f t="shared" si="10"/>
        <v>30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2" t="s">
        <v>21</v>
      </c>
      <c r="C38" s="23">
        <v>1390.2</v>
      </c>
      <c r="D38" s="23">
        <v>57.0</v>
      </c>
      <c r="E38" s="23">
        <v>33.0</v>
      </c>
      <c r="F38" s="23">
        <f t="shared" si="9"/>
        <v>24</v>
      </c>
      <c r="G38" s="18"/>
      <c r="H38" s="22" t="s">
        <v>21</v>
      </c>
      <c r="I38" s="23">
        <v>-1509.5</v>
      </c>
      <c r="J38" s="23">
        <v>72.0</v>
      </c>
      <c r="K38" s="23">
        <v>33.0</v>
      </c>
      <c r="L38" s="23">
        <f t="shared" si="10"/>
        <v>39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2" t="s">
        <v>22</v>
      </c>
      <c r="C39" s="23">
        <v>469.25</v>
      </c>
      <c r="D39" s="23">
        <v>66.0</v>
      </c>
      <c r="E39" s="23">
        <v>30.0</v>
      </c>
      <c r="F39" s="23">
        <f t="shared" si="9"/>
        <v>36</v>
      </c>
      <c r="G39" s="18"/>
      <c r="H39" s="22" t="s">
        <v>22</v>
      </c>
      <c r="I39" s="23">
        <v>-1567.45</v>
      </c>
      <c r="J39" s="23">
        <v>72.0</v>
      </c>
      <c r="K39" s="23">
        <v>32.0</v>
      </c>
      <c r="L39" s="23">
        <f t="shared" si="10"/>
        <v>40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2" t="s">
        <v>23</v>
      </c>
      <c r="C40" s="23">
        <v>696.65</v>
      </c>
      <c r="D40" s="26">
        <v>63.0</v>
      </c>
      <c r="E40" s="23">
        <v>33.0</v>
      </c>
      <c r="F40" s="23">
        <f t="shared" si="9"/>
        <v>30</v>
      </c>
      <c r="G40" s="18"/>
      <c r="H40" s="22" t="s">
        <v>23</v>
      </c>
      <c r="I40" s="23">
        <v>-947.15</v>
      </c>
      <c r="J40" s="23">
        <v>56.0</v>
      </c>
      <c r="K40" s="23">
        <v>24.0</v>
      </c>
      <c r="L40" s="23">
        <f t="shared" si="10"/>
        <v>32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2" t="s">
        <v>24</v>
      </c>
      <c r="C41" s="23">
        <v>-520.15</v>
      </c>
      <c r="D41" s="23">
        <v>60.0</v>
      </c>
      <c r="E41" s="23">
        <v>28.0</v>
      </c>
      <c r="F41" s="23">
        <f t="shared" si="9"/>
        <v>32</v>
      </c>
      <c r="G41" s="18"/>
      <c r="H41" s="22" t="s">
        <v>24</v>
      </c>
      <c r="I41" s="23">
        <v>-241.24</v>
      </c>
      <c r="J41" s="23">
        <v>79.0</v>
      </c>
      <c r="K41" s="23">
        <v>40.0</v>
      </c>
      <c r="L41" s="23">
        <f t="shared" si="10"/>
        <v>39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2" t="s">
        <v>25</v>
      </c>
      <c r="C42" s="23">
        <v>-1721.69</v>
      </c>
      <c r="D42" s="23">
        <v>63.0</v>
      </c>
      <c r="E42" s="23">
        <v>27.0</v>
      </c>
      <c r="F42" s="23">
        <f t="shared" si="9"/>
        <v>36</v>
      </c>
      <c r="G42" s="18"/>
      <c r="H42" s="22" t="s">
        <v>25</v>
      </c>
      <c r="I42" s="23">
        <v>-85.1</v>
      </c>
      <c r="J42" s="23">
        <v>71.0</v>
      </c>
      <c r="K42" s="23">
        <v>34.0</v>
      </c>
      <c r="L42" s="23">
        <f t="shared" si="10"/>
        <v>37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2" t="s">
        <v>26</v>
      </c>
      <c r="C43" s="23">
        <v>-122.75</v>
      </c>
      <c r="D43" s="23">
        <v>65.0</v>
      </c>
      <c r="E43" s="23">
        <v>30.0</v>
      </c>
      <c r="F43" s="23">
        <f t="shared" si="9"/>
        <v>35</v>
      </c>
      <c r="G43" s="18"/>
      <c r="H43" s="22" t="s">
        <v>26</v>
      </c>
      <c r="I43" s="23">
        <v>-394.82</v>
      </c>
      <c r="J43" s="23">
        <v>70.0</v>
      </c>
      <c r="K43" s="23">
        <v>33.0</v>
      </c>
      <c r="L43" s="23">
        <f t="shared" si="10"/>
        <v>37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2" t="s">
        <v>27</v>
      </c>
      <c r="C44" s="23">
        <v>746.58</v>
      </c>
      <c r="D44" s="23">
        <v>48.0</v>
      </c>
      <c r="E44" s="23">
        <v>26.0</v>
      </c>
      <c r="F44" s="23">
        <f t="shared" si="9"/>
        <v>22</v>
      </c>
      <c r="G44" s="18"/>
      <c r="H44" s="22" t="s">
        <v>27</v>
      </c>
      <c r="I44" s="23">
        <v>-2631.94</v>
      </c>
      <c r="J44" s="23">
        <v>69.0</v>
      </c>
      <c r="K44" s="23">
        <v>28.0</v>
      </c>
      <c r="L44" s="23">
        <f t="shared" si="10"/>
        <v>41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3"/>
      <c r="B45" s="3"/>
      <c r="C45" s="3"/>
      <c r="D45" s="3">
        <f t="shared" ref="D45:F45" si="11">SUM(D34:D44)</f>
        <v>673</v>
      </c>
      <c r="E45" s="3">
        <f t="shared" si="11"/>
        <v>325</v>
      </c>
      <c r="F45" s="3">
        <f t="shared" si="11"/>
        <v>348</v>
      </c>
      <c r="G45" s="3"/>
      <c r="H45" s="3"/>
      <c r="I45" s="3"/>
      <c r="J45" s="3">
        <f t="shared" ref="J45:L45" si="12">SUM(J34:J44)</f>
        <v>742</v>
      </c>
      <c r="K45" s="3">
        <f t="shared" si="12"/>
        <v>362</v>
      </c>
      <c r="L45" s="3">
        <f t="shared" si="12"/>
        <v>380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/>
      <c r="B46" s="8" t="s">
        <v>30</v>
      </c>
      <c r="C46" s="18"/>
      <c r="D46" s="18"/>
      <c r="E46" s="18"/>
      <c r="F46" s="18"/>
      <c r="G46" s="18"/>
      <c r="H46" s="8" t="s">
        <v>30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9" t="s">
        <v>12</v>
      </c>
      <c r="C47" s="10" t="s">
        <v>13</v>
      </c>
      <c r="D47" s="11" t="s">
        <v>14</v>
      </c>
      <c r="E47" s="11" t="s">
        <v>15</v>
      </c>
      <c r="F47" s="11" t="s">
        <v>16</v>
      </c>
      <c r="G47" s="3"/>
      <c r="H47" s="9" t="s">
        <v>12</v>
      </c>
      <c r="I47" s="10" t="s">
        <v>13</v>
      </c>
      <c r="J47" s="11" t="s">
        <v>14</v>
      </c>
      <c r="K47" s="11" t="s">
        <v>15</v>
      </c>
      <c r="L47" s="11" t="s">
        <v>16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2" t="s">
        <v>17</v>
      </c>
      <c r="C48" s="23">
        <v>-2219.39</v>
      </c>
      <c r="D48" s="23">
        <v>75.0</v>
      </c>
      <c r="E48" s="23">
        <v>29.0</v>
      </c>
      <c r="F48" s="23">
        <f t="shared" ref="F48:F58" si="13">D48-E48</f>
        <v>46</v>
      </c>
      <c r="G48" s="18"/>
      <c r="H48" s="22" t="s">
        <v>17</v>
      </c>
      <c r="I48" s="23">
        <v>1015.84</v>
      </c>
      <c r="J48" s="23">
        <v>49.0</v>
      </c>
      <c r="K48" s="23">
        <v>28.0</v>
      </c>
      <c r="L48" s="23">
        <f t="shared" ref="L48:L58" si="14">J48-K48</f>
        <v>21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2" t="s">
        <v>18</v>
      </c>
      <c r="C49" s="23">
        <v>-3312.04</v>
      </c>
      <c r="D49" s="23">
        <v>66.0</v>
      </c>
      <c r="E49" s="23">
        <v>24.0</v>
      </c>
      <c r="F49" s="23">
        <f t="shared" si="13"/>
        <v>42</v>
      </c>
      <c r="G49" s="18"/>
      <c r="H49" s="22" t="s">
        <v>18</v>
      </c>
      <c r="I49" s="23">
        <v>561.04</v>
      </c>
      <c r="J49" s="23">
        <v>62.0</v>
      </c>
      <c r="K49" s="23">
        <v>27.0</v>
      </c>
      <c r="L49" s="23">
        <f t="shared" si="14"/>
        <v>35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2" t="s">
        <v>19</v>
      </c>
      <c r="C50" s="23">
        <v>-2526.99</v>
      </c>
      <c r="D50" s="23">
        <v>74.0</v>
      </c>
      <c r="E50" s="23">
        <v>30.0</v>
      </c>
      <c r="F50" s="23">
        <f t="shared" si="13"/>
        <v>44</v>
      </c>
      <c r="G50" s="18"/>
      <c r="H50" s="22" t="s">
        <v>19</v>
      </c>
      <c r="I50" s="23">
        <v>410.64</v>
      </c>
      <c r="J50" s="23">
        <v>63.0</v>
      </c>
      <c r="K50" s="23">
        <v>27.0</v>
      </c>
      <c r="L50" s="23">
        <f t="shared" si="14"/>
        <v>36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2" t="s">
        <v>20</v>
      </c>
      <c r="C51" s="23">
        <v>-2510.51</v>
      </c>
      <c r="D51" s="23">
        <v>75.0</v>
      </c>
      <c r="E51" s="23">
        <v>32.0</v>
      </c>
      <c r="F51" s="23">
        <f t="shared" si="13"/>
        <v>43</v>
      </c>
      <c r="G51" s="18"/>
      <c r="H51" s="22" t="s">
        <v>20</v>
      </c>
      <c r="I51" s="23">
        <v>279.4</v>
      </c>
      <c r="J51" s="23">
        <v>64.0</v>
      </c>
      <c r="K51" s="23">
        <v>31.0</v>
      </c>
      <c r="L51" s="23">
        <f t="shared" si="14"/>
        <v>33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2" t="s">
        <v>21</v>
      </c>
      <c r="C52" s="23">
        <v>-2461.14</v>
      </c>
      <c r="D52" s="23">
        <v>72.0</v>
      </c>
      <c r="E52" s="23">
        <v>27.0</v>
      </c>
      <c r="F52" s="23">
        <f t="shared" si="13"/>
        <v>45</v>
      </c>
      <c r="G52" s="18"/>
      <c r="H52" s="22" t="s">
        <v>21</v>
      </c>
      <c r="I52" s="23">
        <v>-414.6</v>
      </c>
      <c r="J52" s="23">
        <v>72.0</v>
      </c>
      <c r="K52" s="23">
        <v>29.0</v>
      </c>
      <c r="L52" s="23">
        <f t="shared" si="14"/>
        <v>43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2" t="s">
        <v>22</v>
      </c>
      <c r="C53" s="23">
        <v>-83.34</v>
      </c>
      <c r="D53" s="23">
        <v>72.0</v>
      </c>
      <c r="E53" s="23">
        <v>30.0</v>
      </c>
      <c r="F53" s="23">
        <f t="shared" si="13"/>
        <v>42</v>
      </c>
      <c r="G53" s="18"/>
      <c r="H53" s="22" t="s">
        <v>22</v>
      </c>
      <c r="I53" s="23">
        <v>-1124.8</v>
      </c>
      <c r="J53" s="23">
        <v>80.0</v>
      </c>
      <c r="K53" s="23">
        <v>31.0</v>
      </c>
      <c r="L53" s="23">
        <f t="shared" si="14"/>
        <v>49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2" t="s">
        <v>23</v>
      </c>
      <c r="C54" s="23">
        <v>-2036.59</v>
      </c>
      <c r="D54" s="23">
        <v>71.0</v>
      </c>
      <c r="E54" s="23">
        <v>28.0</v>
      </c>
      <c r="F54" s="23">
        <f t="shared" si="13"/>
        <v>43</v>
      </c>
      <c r="G54" s="18"/>
      <c r="H54" s="22" t="s">
        <v>23</v>
      </c>
      <c r="I54" s="23">
        <v>204.59</v>
      </c>
      <c r="J54" s="23">
        <v>66.0</v>
      </c>
      <c r="K54" s="23">
        <v>32.0</v>
      </c>
      <c r="L54" s="23">
        <f t="shared" si="14"/>
        <v>34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2" t="s">
        <v>24</v>
      </c>
      <c r="C55" s="23">
        <v>-1360.37</v>
      </c>
      <c r="D55" s="23">
        <v>77.0</v>
      </c>
      <c r="E55" s="23">
        <v>33.0</v>
      </c>
      <c r="F55" s="23">
        <f t="shared" si="13"/>
        <v>44</v>
      </c>
      <c r="G55" s="18"/>
      <c r="H55" s="22" t="s">
        <v>24</v>
      </c>
      <c r="I55" s="23">
        <v>226.03</v>
      </c>
      <c r="J55" s="23">
        <v>62.0</v>
      </c>
      <c r="K55" s="23">
        <v>26.0</v>
      </c>
      <c r="L55" s="23">
        <f t="shared" si="14"/>
        <v>36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2" t="s">
        <v>25</v>
      </c>
      <c r="C56" s="23">
        <v>-38.79</v>
      </c>
      <c r="D56" s="23">
        <v>68.0</v>
      </c>
      <c r="E56" s="23">
        <v>35.0</v>
      </c>
      <c r="F56" s="23">
        <f t="shared" si="13"/>
        <v>33</v>
      </c>
      <c r="G56" s="18"/>
      <c r="H56" s="22" t="s">
        <v>25</v>
      </c>
      <c r="I56" s="23">
        <v>132.64</v>
      </c>
      <c r="J56" s="23">
        <v>66.0</v>
      </c>
      <c r="K56" s="23">
        <v>28.0</v>
      </c>
      <c r="L56" s="23">
        <f t="shared" si="14"/>
        <v>38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2" t="s">
        <v>26</v>
      </c>
      <c r="C57" s="23">
        <v>472.92</v>
      </c>
      <c r="D57" s="23">
        <v>71.0</v>
      </c>
      <c r="E57" s="23">
        <v>35.0</v>
      </c>
      <c r="F57" s="23">
        <f t="shared" si="13"/>
        <v>36</v>
      </c>
      <c r="G57" s="18"/>
      <c r="H57" s="22" t="s">
        <v>26</v>
      </c>
      <c r="I57" s="23">
        <v>-2025.06</v>
      </c>
      <c r="J57" s="23">
        <v>80.0</v>
      </c>
      <c r="K57" s="23">
        <v>26.0</v>
      </c>
      <c r="L57" s="23">
        <f t="shared" si="14"/>
        <v>54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2" t="s">
        <v>27</v>
      </c>
      <c r="C58" s="23">
        <v>1061.8</v>
      </c>
      <c r="D58" s="23">
        <v>74.0</v>
      </c>
      <c r="E58" s="23">
        <v>36.0</v>
      </c>
      <c r="F58" s="23">
        <f t="shared" si="13"/>
        <v>38</v>
      </c>
      <c r="G58" s="18"/>
      <c r="H58" s="22" t="s">
        <v>27</v>
      </c>
      <c r="I58" s="23">
        <v>504.44</v>
      </c>
      <c r="J58" s="23">
        <v>71.0</v>
      </c>
      <c r="K58" s="23">
        <v>33.0</v>
      </c>
      <c r="L58" s="23">
        <f t="shared" si="14"/>
        <v>38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3"/>
      <c r="B59" s="3"/>
      <c r="C59" s="3"/>
      <c r="D59" s="3">
        <f t="shared" ref="D59:F59" si="15">SUM(D48:D58)</f>
        <v>795</v>
      </c>
      <c r="E59" s="3">
        <f t="shared" si="15"/>
        <v>339</v>
      </c>
      <c r="F59" s="3">
        <f t="shared" si="15"/>
        <v>456</v>
      </c>
      <c r="G59" s="3"/>
      <c r="H59" s="3"/>
      <c r="I59" s="3"/>
      <c r="J59" s="3">
        <f t="shared" ref="J59:L59" si="16">SUM(J48:J58)</f>
        <v>735</v>
      </c>
      <c r="K59" s="3">
        <f t="shared" si="16"/>
        <v>318</v>
      </c>
      <c r="L59" s="3">
        <f t="shared" si="16"/>
        <v>417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3"/>
      <c r="B60" s="3"/>
      <c r="C60" s="15" t="s">
        <v>31</v>
      </c>
      <c r="D60" s="3">
        <f t="shared" ref="D60:F60" si="17">D59+D45+D31+D17</f>
        <v>2935</v>
      </c>
      <c r="E60" s="3">
        <f t="shared" si="17"/>
        <v>1342</v>
      </c>
      <c r="F60" s="3">
        <f t="shared" si="17"/>
        <v>1593</v>
      </c>
      <c r="G60" s="3"/>
      <c r="H60" s="3"/>
      <c r="I60" s="15" t="s">
        <v>32</v>
      </c>
      <c r="J60" s="3">
        <f t="shared" ref="J60:L60" si="18">J59+J45+J31+J17</f>
        <v>2984</v>
      </c>
      <c r="K60" s="3">
        <f t="shared" si="18"/>
        <v>1423</v>
      </c>
      <c r="L60" s="3">
        <f t="shared" si="18"/>
        <v>1561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3"/>
      <c r="B61" s="3"/>
      <c r="C61" s="15" t="s">
        <v>33</v>
      </c>
      <c r="D61" s="3">
        <f t="shared" ref="D61:F61" si="19">D60+J60</f>
        <v>5919</v>
      </c>
      <c r="E61" s="3">
        <f t="shared" si="19"/>
        <v>2765</v>
      </c>
      <c r="F61" s="3">
        <f t="shared" si="19"/>
        <v>3154</v>
      </c>
      <c r="G61" s="3"/>
      <c r="H61" s="3"/>
      <c r="I61" s="3"/>
      <c r="J61" s="3"/>
      <c r="K61" s="3"/>
      <c r="L61" s="3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3"/>
      <c r="B62" s="3"/>
      <c r="C62" s="15" t="s">
        <v>34</v>
      </c>
      <c r="D62" s="16">
        <f>E61/D61</f>
        <v>0.4671397195</v>
      </c>
      <c r="E62" s="3"/>
      <c r="F62" s="3"/>
      <c r="G62" s="3"/>
      <c r="H62" s="3"/>
      <c r="I62" s="3"/>
      <c r="J62" s="3"/>
      <c r="K62" s="3"/>
      <c r="L62" s="3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3"/>
      <c r="B63" s="3"/>
      <c r="C63" s="15" t="s">
        <v>35</v>
      </c>
      <c r="D63" s="17">
        <f>1-D62</f>
        <v>0.5328602805</v>
      </c>
      <c r="E63" s="3"/>
      <c r="F63" s="3"/>
      <c r="G63" s="3"/>
      <c r="H63" s="3"/>
      <c r="I63" s="3"/>
      <c r="J63" s="3"/>
      <c r="K63" s="3"/>
      <c r="L63" s="3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B1:L1"/>
    <mergeCell ref="B3:F3"/>
    <mergeCell ref="H3:L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  <col customWidth="1" min="5" max="5" width="13.5"/>
    <col customWidth="1" min="6" max="6" width="13.38"/>
    <col customWidth="1" min="10" max="10" width="17.75"/>
    <col customWidth="1" min="11" max="11" width="13.5"/>
    <col customWidth="1" min="12" max="12" width="13.88"/>
  </cols>
  <sheetData>
    <row r="1">
      <c r="A1" s="18"/>
      <c r="B1" s="19" t="s">
        <v>8</v>
      </c>
      <c r="C1" s="5"/>
      <c r="D1" s="5"/>
      <c r="E1" s="5"/>
      <c r="F1" s="5"/>
      <c r="G1" s="5"/>
      <c r="H1" s="5"/>
      <c r="I1" s="5"/>
      <c r="J1" s="5"/>
      <c r="K1" s="5"/>
      <c r="L1" s="6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7" t="s">
        <v>9</v>
      </c>
      <c r="C3" s="5"/>
      <c r="D3" s="5"/>
      <c r="E3" s="5"/>
      <c r="F3" s="6"/>
      <c r="G3" s="18"/>
      <c r="H3" s="7" t="s">
        <v>10</v>
      </c>
      <c r="I3" s="5"/>
      <c r="J3" s="5"/>
      <c r="K3" s="5"/>
      <c r="L3" s="6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8" t="s">
        <v>11</v>
      </c>
      <c r="C4" s="20"/>
      <c r="D4" s="20"/>
      <c r="E4" s="20"/>
      <c r="F4" s="20"/>
      <c r="G4" s="18"/>
      <c r="H4" s="33" t="s">
        <v>11</v>
      </c>
      <c r="I4" s="20"/>
      <c r="J4" s="20"/>
      <c r="K4" s="20"/>
      <c r="L4" s="20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9" t="s">
        <v>12</v>
      </c>
      <c r="C5" s="10" t="s">
        <v>13</v>
      </c>
      <c r="D5" s="11" t="s">
        <v>14</v>
      </c>
      <c r="E5" s="11" t="s">
        <v>15</v>
      </c>
      <c r="F5" s="11" t="s">
        <v>16</v>
      </c>
      <c r="G5" s="3"/>
      <c r="H5" s="9" t="s">
        <v>12</v>
      </c>
      <c r="I5" s="10" t="s">
        <v>13</v>
      </c>
      <c r="J5" s="11" t="s">
        <v>14</v>
      </c>
      <c r="K5" s="11" t="s">
        <v>15</v>
      </c>
      <c r="L5" s="11" t="s">
        <v>16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1"/>
      <c r="B6" s="22" t="s">
        <v>17</v>
      </c>
      <c r="C6" s="23">
        <v>1145.0</v>
      </c>
      <c r="D6" s="23">
        <v>63.0</v>
      </c>
      <c r="E6" s="23">
        <v>30.0</v>
      </c>
      <c r="F6" s="23">
        <f t="shared" ref="F6:F16" si="1">D6-E6</f>
        <v>33</v>
      </c>
      <c r="G6" s="18"/>
      <c r="H6" s="22" t="s">
        <v>17</v>
      </c>
      <c r="I6" s="23">
        <v>-778.55</v>
      </c>
      <c r="J6" s="23">
        <v>67.0</v>
      </c>
      <c r="K6" s="23">
        <v>30.0</v>
      </c>
      <c r="L6" s="23">
        <f t="shared" ref="L6:L16" si="2">J6-K6</f>
        <v>37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4"/>
      <c r="B7" s="22" t="s">
        <v>18</v>
      </c>
      <c r="C7" s="23">
        <v>-439.64</v>
      </c>
      <c r="D7" s="23">
        <v>61.0</v>
      </c>
      <c r="E7" s="23">
        <v>32.0</v>
      </c>
      <c r="F7" s="23">
        <f t="shared" si="1"/>
        <v>29</v>
      </c>
      <c r="G7" s="18"/>
      <c r="H7" s="22" t="s">
        <v>18</v>
      </c>
      <c r="I7" s="23">
        <v>716.99</v>
      </c>
      <c r="J7" s="23">
        <v>61.0</v>
      </c>
      <c r="K7" s="23">
        <v>31.0</v>
      </c>
      <c r="L7" s="23">
        <f t="shared" si="2"/>
        <v>30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/>
      <c r="B8" s="22" t="s">
        <v>19</v>
      </c>
      <c r="C8" s="23">
        <v>667.85</v>
      </c>
      <c r="D8" s="23">
        <v>64.0</v>
      </c>
      <c r="E8" s="23">
        <v>34.0</v>
      </c>
      <c r="F8" s="23">
        <f t="shared" si="1"/>
        <v>30</v>
      </c>
      <c r="G8" s="18"/>
      <c r="H8" s="22" t="s">
        <v>19</v>
      </c>
      <c r="I8" s="23">
        <v>-692.7</v>
      </c>
      <c r="J8" s="23">
        <v>63.0</v>
      </c>
      <c r="K8" s="23">
        <v>28.0</v>
      </c>
      <c r="L8" s="23">
        <f t="shared" si="2"/>
        <v>35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4"/>
      <c r="B9" s="22" t="s">
        <v>20</v>
      </c>
      <c r="C9" s="23">
        <v>407.07</v>
      </c>
      <c r="D9" s="23">
        <v>64.0</v>
      </c>
      <c r="E9" s="23">
        <v>27.0</v>
      </c>
      <c r="F9" s="23">
        <f t="shared" si="1"/>
        <v>37</v>
      </c>
      <c r="G9" s="18"/>
      <c r="H9" s="22" t="s">
        <v>20</v>
      </c>
      <c r="I9" s="23">
        <v>1047.59</v>
      </c>
      <c r="J9" s="23">
        <v>66.0</v>
      </c>
      <c r="K9" s="23">
        <v>40.0</v>
      </c>
      <c r="L9" s="23">
        <f t="shared" si="2"/>
        <v>26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1"/>
      <c r="B10" s="22" t="s">
        <v>21</v>
      </c>
      <c r="C10" s="23">
        <v>2000.45</v>
      </c>
      <c r="D10" s="23">
        <v>72.0</v>
      </c>
      <c r="E10" s="23">
        <v>41.0</v>
      </c>
      <c r="F10" s="23">
        <f t="shared" si="1"/>
        <v>31</v>
      </c>
      <c r="G10" s="18"/>
      <c r="H10" s="22" t="s">
        <v>21</v>
      </c>
      <c r="I10" s="23">
        <v>-125.45</v>
      </c>
      <c r="J10" s="23">
        <v>72.0</v>
      </c>
      <c r="K10" s="23">
        <v>33.0</v>
      </c>
      <c r="L10" s="23">
        <f t="shared" si="2"/>
        <v>39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1"/>
      <c r="B11" s="22" t="s">
        <v>22</v>
      </c>
      <c r="C11" s="23">
        <v>2444.65</v>
      </c>
      <c r="D11" s="23">
        <v>75.0</v>
      </c>
      <c r="E11" s="23">
        <v>40.0</v>
      </c>
      <c r="F11" s="23">
        <f t="shared" si="1"/>
        <v>35</v>
      </c>
      <c r="G11" s="18"/>
      <c r="H11" s="22" t="s">
        <v>22</v>
      </c>
      <c r="I11" s="23">
        <v>-3183.75</v>
      </c>
      <c r="J11" s="23">
        <v>81.0</v>
      </c>
      <c r="K11" s="23">
        <v>29.0</v>
      </c>
      <c r="L11" s="23">
        <f t="shared" si="2"/>
        <v>52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4"/>
      <c r="B12" s="22" t="s">
        <v>23</v>
      </c>
      <c r="C12" s="23">
        <v>1212.85</v>
      </c>
      <c r="D12" s="23">
        <v>57.0</v>
      </c>
      <c r="E12" s="23">
        <v>35.0</v>
      </c>
      <c r="F12" s="23">
        <f t="shared" si="1"/>
        <v>22</v>
      </c>
      <c r="G12" s="18"/>
      <c r="H12" s="22" t="s">
        <v>23</v>
      </c>
      <c r="I12" s="23">
        <v>-1311.95</v>
      </c>
      <c r="J12" s="23">
        <v>62.0</v>
      </c>
      <c r="K12" s="23">
        <v>24.0</v>
      </c>
      <c r="L12" s="23">
        <f t="shared" si="2"/>
        <v>38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1"/>
      <c r="B13" s="22" t="s">
        <v>24</v>
      </c>
      <c r="C13" s="23">
        <v>2513.36</v>
      </c>
      <c r="D13" s="23">
        <v>70.0</v>
      </c>
      <c r="E13" s="23">
        <v>36.0</v>
      </c>
      <c r="F13" s="23">
        <f t="shared" si="1"/>
        <v>34</v>
      </c>
      <c r="G13" s="18"/>
      <c r="H13" s="22" t="s">
        <v>24</v>
      </c>
      <c r="I13" s="23">
        <v>-2069.15</v>
      </c>
      <c r="J13" s="23">
        <v>65.0</v>
      </c>
      <c r="K13" s="23">
        <v>27.0</v>
      </c>
      <c r="L13" s="23">
        <f t="shared" si="2"/>
        <v>38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4"/>
      <c r="B14" s="22" t="s">
        <v>25</v>
      </c>
      <c r="C14" s="23">
        <v>527.42</v>
      </c>
      <c r="D14" s="23">
        <v>75.0</v>
      </c>
      <c r="E14" s="23">
        <v>41.0</v>
      </c>
      <c r="F14" s="23">
        <f t="shared" si="1"/>
        <v>34</v>
      </c>
      <c r="G14" s="18"/>
      <c r="H14" s="22" t="s">
        <v>25</v>
      </c>
      <c r="I14" s="23">
        <v>-47.91</v>
      </c>
      <c r="J14" s="23">
        <v>73.0</v>
      </c>
      <c r="K14" s="23">
        <v>35.0</v>
      </c>
      <c r="L14" s="23">
        <f t="shared" si="2"/>
        <v>38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1"/>
      <c r="B15" s="22" t="s">
        <v>26</v>
      </c>
      <c r="C15" s="23">
        <v>597.1</v>
      </c>
      <c r="D15" s="23">
        <v>79.0</v>
      </c>
      <c r="E15" s="23">
        <v>38.0</v>
      </c>
      <c r="F15" s="23">
        <f t="shared" si="1"/>
        <v>41</v>
      </c>
      <c r="G15" s="18"/>
      <c r="H15" s="22" t="s">
        <v>26</v>
      </c>
      <c r="I15" s="23">
        <v>-439.59</v>
      </c>
      <c r="J15" s="23">
        <v>73.0</v>
      </c>
      <c r="K15" s="23">
        <v>34.0</v>
      </c>
      <c r="L15" s="23">
        <f t="shared" si="2"/>
        <v>39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2" t="s">
        <v>27</v>
      </c>
      <c r="C16" s="23">
        <v>594.91</v>
      </c>
      <c r="D16" s="23">
        <v>69.0</v>
      </c>
      <c r="E16" s="23">
        <v>35.0</v>
      </c>
      <c r="F16" s="23">
        <f t="shared" si="1"/>
        <v>34</v>
      </c>
      <c r="G16" s="18"/>
      <c r="H16" s="22" t="s">
        <v>27</v>
      </c>
      <c r="I16" s="23">
        <v>-1092.67</v>
      </c>
      <c r="J16" s="23">
        <v>69.0</v>
      </c>
      <c r="K16" s="23">
        <v>29.0</v>
      </c>
      <c r="L16" s="23">
        <f t="shared" si="2"/>
        <v>40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3"/>
      <c r="B17" s="3"/>
      <c r="C17" s="3"/>
      <c r="D17" s="3">
        <f t="shared" ref="D17:F17" si="3">SUM(D6:D16)</f>
        <v>749</v>
      </c>
      <c r="E17" s="3">
        <f t="shared" si="3"/>
        <v>389</v>
      </c>
      <c r="F17" s="3">
        <f t="shared" si="3"/>
        <v>360</v>
      </c>
      <c r="G17" s="3"/>
      <c r="H17" s="3"/>
      <c r="I17" s="3"/>
      <c r="J17" s="3">
        <f t="shared" ref="J17:L17" si="4">SUM(J6:J16)</f>
        <v>752</v>
      </c>
      <c r="K17" s="3">
        <f t="shared" si="4"/>
        <v>340</v>
      </c>
      <c r="L17" s="3">
        <f t="shared" si="4"/>
        <v>412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/>
      <c r="B18" s="8" t="s">
        <v>28</v>
      </c>
      <c r="C18" s="18"/>
      <c r="D18" s="18"/>
      <c r="E18" s="18"/>
      <c r="F18" s="18"/>
      <c r="G18" s="18"/>
      <c r="H18" s="33" t="s">
        <v>28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9" t="s">
        <v>12</v>
      </c>
      <c r="C19" s="10" t="s">
        <v>13</v>
      </c>
      <c r="D19" s="11" t="s">
        <v>14</v>
      </c>
      <c r="E19" s="11" t="s">
        <v>15</v>
      </c>
      <c r="F19" s="11" t="s">
        <v>16</v>
      </c>
      <c r="G19" s="3"/>
      <c r="H19" s="9" t="s">
        <v>12</v>
      </c>
      <c r="I19" s="10" t="s">
        <v>13</v>
      </c>
      <c r="J19" s="11" t="s">
        <v>14</v>
      </c>
      <c r="K19" s="11" t="s">
        <v>15</v>
      </c>
      <c r="L19" s="11" t="s">
        <v>16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2" t="s">
        <v>17</v>
      </c>
      <c r="C20" s="23">
        <v>-1905.44</v>
      </c>
      <c r="D20" s="23">
        <v>60.0</v>
      </c>
      <c r="E20" s="23">
        <v>24.0</v>
      </c>
      <c r="F20" s="23">
        <f t="shared" ref="F20:F30" si="5">D20-E20</f>
        <v>36</v>
      </c>
      <c r="G20" s="18"/>
      <c r="H20" s="22" t="s">
        <v>17</v>
      </c>
      <c r="I20" s="23">
        <v>432.3</v>
      </c>
      <c r="J20" s="23">
        <v>61.0</v>
      </c>
      <c r="K20" s="23">
        <v>30.0</v>
      </c>
      <c r="L20" s="23">
        <f t="shared" ref="L20:L30" si="6">J20-K20</f>
        <v>31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2" t="s">
        <v>18</v>
      </c>
      <c r="C21" s="23">
        <v>14.5</v>
      </c>
      <c r="D21" s="23">
        <v>62.0</v>
      </c>
      <c r="E21" s="23">
        <v>31.0</v>
      </c>
      <c r="F21" s="23">
        <f t="shared" si="5"/>
        <v>31</v>
      </c>
      <c r="G21" s="18"/>
      <c r="H21" s="22" t="s">
        <v>18</v>
      </c>
      <c r="I21" s="23">
        <v>753.14</v>
      </c>
      <c r="J21" s="23">
        <v>69.0</v>
      </c>
      <c r="K21" s="23">
        <v>39.0</v>
      </c>
      <c r="L21" s="23">
        <f t="shared" si="6"/>
        <v>30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2" t="s">
        <v>19</v>
      </c>
      <c r="C22" s="23">
        <v>-111.34</v>
      </c>
      <c r="D22" s="23">
        <v>66.0</v>
      </c>
      <c r="E22" s="23">
        <v>33.0</v>
      </c>
      <c r="F22" s="23">
        <f t="shared" si="5"/>
        <v>33</v>
      </c>
      <c r="G22" s="18"/>
      <c r="H22" s="22" t="s">
        <v>19</v>
      </c>
      <c r="I22" s="23">
        <v>691.99</v>
      </c>
      <c r="J22" s="23">
        <v>62.0</v>
      </c>
      <c r="K22" s="23">
        <v>31.0</v>
      </c>
      <c r="L22" s="23">
        <f t="shared" si="6"/>
        <v>31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2" t="s">
        <v>20</v>
      </c>
      <c r="C23" s="23">
        <v>-1481.8</v>
      </c>
      <c r="D23" s="23">
        <v>64.0</v>
      </c>
      <c r="E23" s="23">
        <v>24.0</v>
      </c>
      <c r="F23" s="23">
        <f t="shared" si="5"/>
        <v>40</v>
      </c>
      <c r="G23" s="18"/>
      <c r="H23" s="22" t="s">
        <v>20</v>
      </c>
      <c r="I23" s="23">
        <v>2705.0</v>
      </c>
      <c r="J23" s="23">
        <v>66.0</v>
      </c>
      <c r="K23" s="23">
        <v>43.0</v>
      </c>
      <c r="L23" s="23">
        <f t="shared" si="6"/>
        <v>23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2" t="s">
        <v>21</v>
      </c>
      <c r="C24" s="23">
        <v>597.35</v>
      </c>
      <c r="D24" s="23">
        <v>67.0</v>
      </c>
      <c r="E24" s="23">
        <v>32.0</v>
      </c>
      <c r="F24" s="23">
        <f t="shared" si="5"/>
        <v>35</v>
      </c>
      <c r="G24" s="18"/>
      <c r="H24" s="22" t="s">
        <v>21</v>
      </c>
      <c r="I24" s="23">
        <v>1095.69</v>
      </c>
      <c r="J24" s="23">
        <v>70.0</v>
      </c>
      <c r="K24" s="23">
        <v>36.0</v>
      </c>
      <c r="L24" s="23">
        <f t="shared" si="6"/>
        <v>34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2" t="s">
        <v>22</v>
      </c>
      <c r="C25" s="23">
        <v>-1133.04</v>
      </c>
      <c r="D25" s="23">
        <v>64.0</v>
      </c>
      <c r="E25" s="23">
        <v>25.0</v>
      </c>
      <c r="F25" s="23">
        <f t="shared" si="5"/>
        <v>39</v>
      </c>
      <c r="G25" s="18"/>
      <c r="H25" s="22" t="s">
        <v>22</v>
      </c>
      <c r="I25" s="23">
        <v>2737.89</v>
      </c>
      <c r="J25" s="23">
        <v>66.0</v>
      </c>
      <c r="K25" s="23">
        <v>41.0</v>
      </c>
      <c r="L25" s="23">
        <f t="shared" si="6"/>
        <v>25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2" t="s">
        <v>23</v>
      </c>
      <c r="C26" s="23">
        <v>-612.64</v>
      </c>
      <c r="D26" s="23">
        <v>67.0</v>
      </c>
      <c r="E26" s="23">
        <v>31.0</v>
      </c>
      <c r="F26" s="23">
        <f t="shared" si="5"/>
        <v>36</v>
      </c>
      <c r="G26" s="18"/>
      <c r="H26" s="22" t="s">
        <v>23</v>
      </c>
      <c r="I26" s="23">
        <v>260.15</v>
      </c>
      <c r="J26" s="23">
        <v>58.0</v>
      </c>
      <c r="K26" s="23">
        <v>35.0</v>
      </c>
      <c r="L26" s="23">
        <f t="shared" si="6"/>
        <v>23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2" t="s">
        <v>24</v>
      </c>
      <c r="C27" s="23">
        <v>-2008.0</v>
      </c>
      <c r="D27" s="23">
        <v>70.0</v>
      </c>
      <c r="E27" s="23">
        <v>23.0</v>
      </c>
      <c r="F27" s="23">
        <f t="shared" si="5"/>
        <v>47</v>
      </c>
      <c r="G27" s="18"/>
      <c r="H27" s="22" t="s">
        <v>24</v>
      </c>
      <c r="I27" s="23">
        <v>846.49</v>
      </c>
      <c r="J27" s="23">
        <v>65.0</v>
      </c>
      <c r="K27" s="23">
        <v>35.0</v>
      </c>
      <c r="L27" s="23">
        <f t="shared" si="6"/>
        <v>30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2" t="s">
        <v>25</v>
      </c>
      <c r="C28" s="23">
        <v>-1929.49</v>
      </c>
      <c r="D28" s="23">
        <v>68.0</v>
      </c>
      <c r="E28" s="23">
        <v>25.0</v>
      </c>
      <c r="F28" s="23">
        <f t="shared" si="5"/>
        <v>43</v>
      </c>
      <c r="G28" s="18"/>
      <c r="H28" s="22" t="s">
        <v>25</v>
      </c>
      <c r="I28" s="23">
        <v>3424.62</v>
      </c>
      <c r="J28" s="23">
        <v>63.0</v>
      </c>
      <c r="K28" s="23">
        <v>42.0</v>
      </c>
      <c r="L28" s="23">
        <f t="shared" si="6"/>
        <v>21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2" t="s">
        <v>26</v>
      </c>
      <c r="C29" s="23">
        <v>-2188.04</v>
      </c>
      <c r="D29" s="23">
        <v>76.0</v>
      </c>
      <c r="E29" s="23">
        <v>32.0</v>
      </c>
      <c r="F29" s="23">
        <f t="shared" si="5"/>
        <v>44</v>
      </c>
      <c r="G29" s="18"/>
      <c r="H29" s="22" t="s">
        <v>26</v>
      </c>
      <c r="I29" s="23">
        <v>471.44</v>
      </c>
      <c r="J29" s="23">
        <v>68.0</v>
      </c>
      <c r="K29" s="23">
        <v>37.0</v>
      </c>
      <c r="L29" s="23">
        <f t="shared" si="6"/>
        <v>31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2" t="s">
        <v>27</v>
      </c>
      <c r="C30" s="23">
        <v>-1272.45</v>
      </c>
      <c r="D30" s="23">
        <v>62.0</v>
      </c>
      <c r="E30" s="23">
        <v>20.0</v>
      </c>
      <c r="F30" s="23">
        <f t="shared" si="5"/>
        <v>42</v>
      </c>
      <c r="G30" s="18"/>
      <c r="H30" s="22" t="s">
        <v>27</v>
      </c>
      <c r="I30" s="23">
        <v>2280.84</v>
      </c>
      <c r="J30" s="23">
        <v>61.0</v>
      </c>
      <c r="K30" s="23">
        <v>35.0</v>
      </c>
      <c r="L30" s="23">
        <f t="shared" si="6"/>
        <v>26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3"/>
      <c r="B31" s="3"/>
      <c r="C31" s="3"/>
      <c r="D31" s="3">
        <f t="shared" ref="D31:F31" si="7">SUM(D20:D30)</f>
        <v>726</v>
      </c>
      <c r="E31" s="3">
        <f t="shared" si="7"/>
        <v>300</v>
      </c>
      <c r="F31" s="3">
        <f t="shared" si="7"/>
        <v>426</v>
      </c>
      <c r="G31" s="3"/>
      <c r="H31" s="3"/>
      <c r="I31" s="3"/>
      <c r="J31" s="3">
        <f t="shared" ref="J31:L31" si="8">SUM(J20:J30)</f>
        <v>709</v>
      </c>
      <c r="K31" s="3">
        <f t="shared" si="8"/>
        <v>404</v>
      </c>
      <c r="L31" s="3">
        <f t="shared" si="8"/>
        <v>305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8"/>
      <c r="B32" s="8" t="s">
        <v>29</v>
      </c>
      <c r="C32" s="18"/>
      <c r="D32" s="18"/>
      <c r="E32" s="18"/>
      <c r="F32" s="18"/>
      <c r="G32" s="18"/>
      <c r="H32" s="33" t="s">
        <v>29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9" t="s">
        <v>12</v>
      </c>
      <c r="C33" s="10" t="s">
        <v>13</v>
      </c>
      <c r="D33" s="11" t="s">
        <v>14</v>
      </c>
      <c r="E33" s="11" t="s">
        <v>15</v>
      </c>
      <c r="F33" s="11" t="s">
        <v>16</v>
      </c>
      <c r="G33" s="3"/>
      <c r="H33" s="9" t="s">
        <v>12</v>
      </c>
      <c r="I33" s="10" t="s">
        <v>13</v>
      </c>
      <c r="J33" s="11" t="s">
        <v>14</v>
      </c>
      <c r="K33" s="11" t="s">
        <v>15</v>
      </c>
      <c r="L33" s="11" t="s">
        <v>16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2" t="s">
        <v>17</v>
      </c>
      <c r="C34" s="23">
        <v>-885.64</v>
      </c>
      <c r="D34" s="23">
        <v>62.0</v>
      </c>
      <c r="E34" s="23">
        <v>25.0</v>
      </c>
      <c r="F34" s="23">
        <f t="shared" ref="F34:F44" si="9">D34-E34</f>
        <v>37</v>
      </c>
      <c r="G34" s="18"/>
      <c r="H34" s="22" t="s">
        <v>17</v>
      </c>
      <c r="I34" s="23">
        <v>38.09</v>
      </c>
      <c r="J34" s="23">
        <v>61.0</v>
      </c>
      <c r="K34" s="23">
        <v>32.0</v>
      </c>
      <c r="L34" s="23">
        <f t="shared" ref="L34:L44" si="10">J34-K34</f>
        <v>29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2" t="s">
        <v>18</v>
      </c>
      <c r="C35" s="23">
        <v>-169.64</v>
      </c>
      <c r="D35" s="23">
        <v>62.0</v>
      </c>
      <c r="E35" s="23">
        <v>29.0</v>
      </c>
      <c r="F35" s="23">
        <f t="shared" si="9"/>
        <v>33</v>
      </c>
      <c r="G35" s="18"/>
      <c r="H35" s="22" t="s">
        <v>18</v>
      </c>
      <c r="I35" s="23">
        <v>1745.94</v>
      </c>
      <c r="J35" s="23">
        <v>58.0</v>
      </c>
      <c r="K35" s="23">
        <v>36.0</v>
      </c>
      <c r="L35" s="23">
        <f t="shared" si="10"/>
        <v>22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2" t="s">
        <v>19</v>
      </c>
      <c r="C36" s="23">
        <v>-522.99</v>
      </c>
      <c r="D36" s="23">
        <v>62.0</v>
      </c>
      <c r="E36" s="23">
        <v>29.0</v>
      </c>
      <c r="F36" s="23">
        <f t="shared" si="9"/>
        <v>33</v>
      </c>
      <c r="G36" s="18"/>
      <c r="H36" s="22" t="s">
        <v>19</v>
      </c>
      <c r="I36" s="23">
        <v>67.39</v>
      </c>
      <c r="J36" s="23">
        <v>60.0</v>
      </c>
      <c r="K36" s="23">
        <v>34.0</v>
      </c>
      <c r="L36" s="23">
        <f t="shared" si="10"/>
        <v>26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2" t="s">
        <v>20</v>
      </c>
      <c r="C37" s="23">
        <v>-582.28</v>
      </c>
      <c r="D37" s="23">
        <v>61.0</v>
      </c>
      <c r="E37" s="23">
        <v>30.0</v>
      </c>
      <c r="F37" s="23">
        <f t="shared" si="9"/>
        <v>31</v>
      </c>
      <c r="G37" s="18"/>
      <c r="H37" s="22" t="s">
        <v>20</v>
      </c>
      <c r="I37" s="23">
        <v>262.84</v>
      </c>
      <c r="J37" s="23">
        <v>66.0</v>
      </c>
      <c r="K37" s="23">
        <v>33.0</v>
      </c>
      <c r="L37" s="23">
        <f t="shared" si="10"/>
        <v>33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2" t="s">
        <v>21</v>
      </c>
      <c r="C38" s="23">
        <v>-404.89</v>
      </c>
      <c r="D38" s="23">
        <v>67.0</v>
      </c>
      <c r="E38" s="23">
        <v>29.0</v>
      </c>
      <c r="F38" s="23">
        <f t="shared" si="9"/>
        <v>38</v>
      </c>
      <c r="G38" s="18"/>
      <c r="H38" s="22" t="s">
        <v>21</v>
      </c>
      <c r="I38" s="23">
        <v>-627.85</v>
      </c>
      <c r="J38" s="23">
        <v>58.0</v>
      </c>
      <c r="K38" s="23">
        <v>28.0</v>
      </c>
      <c r="L38" s="23">
        <f t="shared" si="10"/>
        <v>30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2" t="s">
        <v>22</v>
      </c>
      <c r="C39" s="23">
        <v>-277.89</v>
      </c>
      <c r="D39" s="23">
        <v>71.0</v>
      </c>
      <c r="E39" s="23">
        <v>33.0</v>
      </c>
      <c r="F39" s="23">
        <f t="shared" si="9"/>
        <v>38</v>
      </c>
      <c r="G39" s="18"/>
      <c r="H39" s="22" t="s">
        <v>22</v>
      </c>
      <c r="I39" s="23">
        <v>-260.7</v>
      </c>
      <c r="J39" s="23">
        <v>73.0</v>
      </c>
      <c r="K39" s="23">
        <v>36.0</v>
      </c>
      <c r="L39" s="23">
        <f t="shared" si="10"/>
        <v>37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2" t="s">
        <v>23</v>
      </c>
      <c r="C40" s="23">
        <v>1093.55</v>
      </c>
      <c r="D40" s="23">
        <v>56.0</v>
      </c>
      <c r="E40" s="23">
        <v>27.0</v>
      </c>
      <c r="F40" s="23">
        <f t="shared" si="9"/>
        <v>29</v>
      </c>
      <c r="G40" s="18"/>
      <c r="H40" s="22" t="s">
        <v>23</v>
      </c>
      <c r="I40" s="23">
        <v>-1082.0</v>
      </c>
      <c r="J40" s="23">
        <v>57.0</v>
      </c>
      <c r="K40" s="23">
        <v>23.0</v>
      </c>
      <c r="L40" s="23">
        <f t="shared" si="10"/>
        <v>34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2" t="s">
        <v>24</v>
      </c>
      <c r="C41" s="23">
        <v>657.97</v>
      </c>
      <c r="D41" s="23">
        <v>64.0</v>
      </c>
      <c r="E41" s="23">
        <v>32.0</v>
      </c>
      <c r="F41" s="23">
        <f t="shared" si="9"/>
        <v>32</v>
      </c>
      <c r="G41" s="18"/>
      <c r="H41" s="22" t="s">
        <v>24</v>
      </c>
      <c r="I41" s="23">
        <v>-1034.44</v>
      </c>
      <c r="J41" s="23">
        <v>67.0</v>
      </c>
      <c r="K41" s="23">
        <v>31.0</v>
      </c>
      <c r="L41" s="23">
        <f t="shared" si="10"/>
        <v>36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2" t="s">
        <v>25</v>
      </c>
      <c r="C42" s="23">
        <v>-316.34</v>
      </c>
      <c r="D42" s="23">
        <v>67.0</v>
      </c>
      <c r="E42" s="23">
        <v>30.0</v>
      </c>
      <c r="F42" s="23">
        <f t="shared" si="9"/>
        <v>37</v>
      </c>
      <c r="G42" s="18"/>
      <c r="H42" s="22" t="s">
        <v>25</v>
      </c>
      <c r="I42" s="23">
        <v>330.04</v>
      </c>
      <c r="J42" s="23">
        <v>61.0</v>
      </c>
      <c r="K42" s="23">
        <v>29.0</v>
      </c>
      <c r="L42" s="23">
        <f t="shared" si="10"/>
        <v>32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2" t="s">
        <v>26</v>
      </c>
      <c r="C43" s="23">
        <v>-352.72</v>
      </c>
      <c r="D43" s="23">
        <v>73.0</v>
      </c>
      <c r="E43" s="23">
        <v>31.0</v>
      </c>
      <c r="F43" s="23">
        <f t="shared" si="9"/>
        <v>42</v>
      </c>
      <c r="G43" s="18"/>
      <c r="H43" s="22" t="s">
        <v>26</v>
      </c>
      <c r="I43" s="23">
        <v>-1247.61</v>
      </c>
      <c r="J43" s="23">
        <v>75.0</v>
      </c>
      <c r="K43" s="23">
        <v>33.0</v>
      </c>
      <c r="L43" s="23">
        <f t="shared" si="10"/>
        <v>42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2" t="s">
        <v>27</v>
      </c>
      <c r="C44" s="23">
        <v>1470.97</v>
      </c>
      <c r="D44" s="23">
        <v>65.0</v>
      </c>
      <c r="E44" s="23">
        <v>34.0</v>
      </c>
      <c r="F44" s="23">
        <f t="shared" si="9"/>
        <v>31</v>
      </c>
      <c r="G44" s="18"/>
      <c r="H44" s="22" t="s">
        <v>27</v>
      </c>
      <c r="I44" s="23">
        <v>-1519.22</v>
      </c>
      <c r="J44" s="23">
        <v>63.0</v>
      </c>
      <c r="K44" s="23">
        <v>28.0</v>
      </c>
      <c r="L44" s="23">
        <f t="shared" si="10"/>
        <v>35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3"/>
      <c r="B45" s="3"/>
      <c r="C45" s="3"/>
      <c r="D45" s="3">
        <f t="shared" ref="D45:F45" si="11">SUM(D34:D44)</f>
        <v>710</v>
      </c>
      <c r="E45" s="3">
        <f t="shared" si="11"/>
        <v>329</v>
      </c>
      <c r="F45" s="3">
        <f t="shared" si="11"/>
        <v>381</v>
      </c>
      <c r="G45" s="3"/>
      <c r="H45" s="3"/>
      <c r="I45" s="3"/>
      <c r="J45" s="3">
        <f t="shared" ref="J45:L45" si="12">SUM(J34:J44)</f>
        <v>699</v>
      </c>
      <c r="K45" s="3">
        <f t="shared" si="12"/>
        <v>343</v>
      </c>
      <c r="L45" s="3">
        <f t="shared" si="12"/>
        <v>356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/>
      <c r="B46" s="8" t="s">
        <v>30</v>
      </c>
      <c r="C46" s="18"/>
      <c r="D46" s="18"/>
      <c r="E46" s="18"/>
      <c r="F46" s="18"/>
      <c r="G46" s="18"/>
      <c r="H46" s="8" t="s">
        <v>30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9" t="s">
        <v>12</v>
      </c>
      <c r="C47" s="10" t="s">
        <v>13</v>
      </c>
      <c r="D47" s="11" t="s">
        <v>14</v>
      </c>
      <c r="E47" s="11" t="s">
        <v>15</v>
      </c>
      <c r="F47" s="11" t="s">
        <v>16</v>
      </c>
      <c r="G47" s="3"/>
      <c r="H47" s="9" t="s">
        <v>12</v>
      </c>
      <c r="I47" s="10" t="s">
        <v>13</v>
      </c>
      <c r="J47" s="11" t="s">
        <v>14</v>
      </c>
      <c r="K47" s="11" t="s">
        <v>15</v>
      </c>
      <c r="L47" s="11" t="s">
        <v>16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2" t="s">
        <v>17</v>
      </c>
      <c r="C48" s="23">
        <v>-2481.14</v>
      </c>
      <c r="D48" s="23">
        <v>65.0</v>
      </c>
      <c r="E48" s="23">
        <v>25.0</v>
      </c>
      <c r="F48" s="23">
        <f t="shared" ref="F48:F58" si="13">D48-E48</f>
        <v>40</v>
      </c>
      <c r="G48" s="18"/>
      <c r="H48" s="22" t="s">
        <v>17</v>
      </c>
      <c r="I48" s="23">
        <v>1569.79</v>
      </c>
      <c r="J48" s="23">
        <v>61.0</v>
      </c>
      <c r="K48" s="23">
        <v>38.0</v>
      </c>
      <c r="L48" s="23">
        <f t="shared" ref="L48:L58" si="14">J48-K48</f>
        <v>23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2" t="s">
        <v>18</v>
      </c>
      <c r="C49" s="23">
        <v>-1046.69</v>
      </c>
      <c r="D49" s="23">
        <v>69.0</v>
      </c>
      <c r="E49" s="23">
        <v>31.0</v>
      </c>
      <c r="F49" s="23">
        <f t="shared" si="13"/>
        <v>38</v>
      </c>
      <c r="G49" s="18"/>
      <c r="H49" s="22" t="s">
        <v>18</v>
      </c>
      <c r="I49" s="23">
        <v>2320.74</v>
      </c>
      <c r="J49" s="23">
        <v>61.0</v>
      </c>
      <c r="K49" s="23">
        <v>36.0</v>
      </c>
      <c r="L49" s="23">
        <f t="shared" si="14"/>
        <v>25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2" t="s">
        <v>19</v>
      </c>
      <c r="C50" s="23">
        <v>-582.14</v>
      </c>
      <c r="D50" s="23">
        <v>67.0</v>
      </c>
      <c r="E50" s="23">
        <v>33.0</v>
      </c>
      <c r="F50" s="23">
        <f t="shared" si="13"/>
        <v>34</v>
      </c>
      <c r="G50" s="18"/>
      <c r="H50" s="22" t="s">
        <v>19</v>
      </c>
      <c r="I50" s="23">
        <v>571.19</v>
      </c>
      <c r="J50" s="23">
        <v>60.0</v>
      </c>
      <c r="K50" s="23">
        <v>28.0</v>
      </c>
      <c r="L50" s="23">
        <f t="shared" si="14"/>
        <v>32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2" t="s">
        <v>20</v>
      </c>
      <c r="C51" s="23">
        <v>-1154.5</v>
      </c>
      <c r="D51" s="23">
        <v>69.0</v>
      </c>
      <c r="E51" s="23">
        <v>32.0</v>
      </c>
      <c r="F51" s="23">
        <f t="shared" si="13"/>
        <v>37</v>
      </c>
      <c r="G51" s="18"/>
      <c r="H51" s="22" t="s">
        <v>20</v>
      </c>
      <c r="I51" s="23">
        <v>1311.34</v>
      </c>
      <c r="J51" s="23">
        <v>64.0</v>
      </c>
      <c r="K51" s="23">
        <v>33.0</v>
      </c>
      <c r="L51" s="23">
        <f t="shared" si="14"/>
        <v>31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2" t="s">
        <v>21</v>
      </c>
      <c r="C52" s="23">
        <v>-63.74</v>
      </c>
      <c r="D52" s="23">
        <v>63.0</v>
      </c>
      <c r="E52" s="23">
        <v>33.0</v>
      </c>
      <c r="F52" s="23">
        <f t="shared" si="13"/>
        <v>30</v>
      </c>
      <c r="G52" s="18"/>
      <c r="H52" s="22" t="s">
        <v>21</v>
      </c>
      <c r="I52" s="23">
        <v>1076.69</v>
      </c>
      <c r="J52" s="23">
        <v>62.0</v>
      </c>
      <c r="K52" s="23">
        <v>31.0</v>
      </c>
      <c r="L52" s="23">
        <f t="shared" si="14"/>
        <v>31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2" t="s">
        <v>22</v>
      </c>
      <c r="C53" s="23">
        <v>571.6</v>
      </c>
      <c r="D53" s="23">
        <v>76.0</v>
      </c>
      <c r="E53" s="23">
        <v>39.0</v>
      </c>
      <c r="F53" s="23">
        <f t="shared" si="13"/>
        <v>37</v>
      </c>
      <c r="G53" s="18"/>
      <c r="H53" s="22" t="s">
        <v>22</v>
      </c>
      <c r="I53" s="23">
        <v>-2401.55</v>
      </c>
      <c r="J53" s="23">
        <v>73.0</v>
      </c>
      <c r="K53" s="23">
        <v>25.0</v>
      </c>
      <c r="L53" s="23">
        <f t="shared" si="14"/>
        <v>48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2" t="s">
        <v>23</v>
      </c>
      <c r="C54" s="23">
        <v>-1044.34</v>
      </c>
      <c r="D54" s="23">
        <v>64.0</v>
      </c>
      <c r="E54" s="23">
        <v>29.0</v>
      </c>
      <c r="F54" s="23">
        <f t="shared" si="13"/>
        <v>35</v>
      </c>
      <c r="G54" s="18"/>
      <c r="H54" s="22" t="s">
        <v>23</v>
      </c>
      <c r="I54" s="23">
        <v>1540.49</v>
      </c>
      <c r="J54" s="23">
        <v>63.0</v>
      </c>
      <c r="K54" s="23">
        <v>37.0</v>
      </c>
      <c r="L54" s="23">
        <f t="shared" si="14"/>
        <v>26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2" t="s">
        <v>24</v>
      </c>
      <c r="C55" s="23">
        <v>-887.39</v>
      </c>
      <c r="D55" s="23">
        <v>63.0</v>
      </c>
      <c r="E55" s="23">
        <v>28.0</v>
      </c>
      <c r="F55" s="23">
        <f t="shared" si="13"/>
        <v>35</v>
      </c>
      <c r="G55" s="18"/>
      <c r="H55" s="22" t="s">
        <v>24</v>
      </c>
      <c r="I55" s="23">
        <v>28.16</v>
      </c>
      <c r="J55" s="23">
        <v>70.0</v>
      </c>
      <c r="K55" s="23">
        <v>31.0</v>
      </c>
      <c r="L55" s="23">
        <f t="shared" si="14"/>
        <v>39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2" t="s">
        <v>25</v>
      </c>
      <c r="C56" s="23">
        <v>27.35</v>
      </c>
      <c r="D56" s="23">
        <v>73.0</v>
      </c>
      <c r="E56" s="23">
        <v>34.0</v>
      </c>
      <c r="F56" s="23">
        <f t="shared" si="13"/>
        <v>39</v>
      </c>
      <c r="G56" s="18"/>
      <c r="H56" s="22" t="s">
        <v>25</v>
      </c>
      <c r="I56" s="23">
        <v>-626.6</v>
      </c>
      <c r="J56" s="23">
        <v>68.0</v>
      </c>
      <c r="K56" s="23">
        <v>27.0</v>
      </c>
      <c r="L56" s="23">
        <f t="shared" si="14"/>
        <v>41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2" t="s">
        <v>26</v>
      </c>
      <c r="C57" s="23">
        <v>2093.43</v>
      </c>
      <c r="D57" s="23">
        <v>72.0</v>
      </c>
      <c r="E57" s="23">
        <v>40.0</v>
      </c>
      <c r="F57" s="23">
        <f t="shared" si="13"/>
        <v>32</v>
      </c>
      <c r="G57" s="18"/>
      <c r="H57" s="22" t="s">
        <v>26</v>
      </c>
      <c r="I57" s="23">
        <v>-701.78</v>
      </c>
      <c r="J57" s="23">
        <v>72.0</v>
      </c>
      <c r="K57" s="23">
        <v>34.0</v>
      </c>
      <c r="L57" s="23">
        <f t="shared" si="14"/>
        <v>38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2" t="s">
        <v>27</v>
      </c>
      <c r="C58" s="23">
        <v>26.39</v>
      </c>
      <c r="D58" s="23">
        <v>64.0</v>
      </c>
      <c r="E58" s="23">
        <v>32.0</v>
      </c>
      <c r="F58" s="23">
        <f t="shared" si="13"/>
        <v>32</v>
      </c>
      <c r="G58" s="18"/>
      <c r="H58" s="22" t="s">
        <v>27</v>
      </c>
      <c r="I58" s="23">
        <v>5.24</v>
      </c>
      <c r="J58" s="23">
        <v>71.0</v>
      </c>
      <c r="K58" s="23">
        <v>27.0</v>
      </c>
      <c r="L58" s="23">
        <f t="shared" si="14"/>
        <v>44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3"/>
      <c r="B59" s="3"/>
      <c r="C59" s="3"/>
      <c r="D59" s="3">
        <f t="shared" ref="D59:F59" si="15">SUM(D48:D58)</f>
        <v>745</v>
      </c>
      <c r="E59" s="3">
        <f t="shared" si="15"/>
        <v>356</v>
      </c>
      <c r="F59" s="3">
        <f t="shared" si="15"/>
        <v>389</v>
      </c>
      <c r="G59" s="3"/>
      <c r="H59" s="3"/>
      <c r="I59" s="3"/>
      <c r="J59" s="3">
        <f t="shared" ref="J59:L59" si="16">SUM(J48:J58)</f>
        <v>725</v>
      </c>
      <c r="K59" s="3">
        <f t="shared" si="16"/>
        <v>347</v>
      </c>
      <c r="L59" s="3">
        <f t="shared" si="16"/>
        <v>378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3"/>
      <c r="B60" s="3"/>
      <c r="C60" s="15" t="s">
        <v>31</v>
      </c>
      <c r="D60" s="3">
        <f t="shared" ref="D60:F60" si="17">D59+D45+D31+D17</f>
        <v>2930</v>
      </c>
      <c r="E60" s="3">
        <f t="shared" si="17"/>
        <v>1374</v>
      </c>
      <c r="F60" s="3">
        <f t="shared" si="17"/>
        <v>1556</v>
      </c>
      <c r="G60" s="3"/>
      <c r="H60" s="3"/>
      <c r="I60" s="15" t="s">
        <v>32</v>
      </c>
      <c r="J60" s="3">
        <f t="shared" ref="J60:L60" si="18">J59+J45+J31+J17</f>
        <v>2885</v>
      </c>
      <c r="K60" s="3">
        <f t="shared" si="18"/>
        <v>1434</v>
      </c>
      <c r="L60" s="3">
        <f t="shared" si="18"/>
        <v>1451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3"/>
      <c r="B61" s="3"/>
      <c r="C61" s="15" t="s">
        <v>33</v>
      </c>
      <c r="D61" s="3">
        <f t="shared" ref="D61:F61" si="19">D60+J60</f>
        <v>5815</v>
      </c>
      <c r="E61" s="3">
        <f t="shared" si="19"/>
        <v>2808</v>
      </c>
      <c r="F61" s="3">
        <f t="shared" si="19"/>
        <v>3007</v>
      </c>
      <c r="G61" s="3"/>
      <c r="H61" s="3"/>
      <c r="I61" s="3"/>
      <c r="J61" s="3"/>
      <c r="K61" s="3"/>
      <c r="L61" s="3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3"/>
      <c r="B62" s="3"/>
      <c r="C62" s="15" t="s">
        <v>34</v>
      </c>
      <c r="D62" s="16">
        <f>E61/D61</f>
        <v>0.48288908</v>
      </c>
      <c r="E62" s="3"/>
      <c r="F62" s="3"/>
      <c r="G62" s="3"/>
      <c r="H62" s="3"/>
      <c r="I62" s="3"/>
      <c r="J62" s="3"/>
      <c r="K62" s="3"/>
      <c r="L62" s="3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3"/>
      <c r="B63" s="3"/>
      <c r="C63" s="15" t="s">
        <v>35</v>
      </c>
      <c r="D63" s="17">
        <f>1-D62</f>
        <v>0.51711092</v>
      </c>
      <c r="E63" s="3"/>
      <c r="F63" s="3"/>
      <c r="G63" s="3"/>
      <c r="H63" s="3"/>
      <c r="I63" s="3"/>
      <c r="J63" s="3"/>
      <c r="K63" s="3"/>
      <c r="L63" s="3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B1:L1"/>
    <mergeCell ref="B3:F3"/>
    <mergeCell ref="H3:L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/>
      <c r="B2" s="4" t="s">
        <v>8</v>
      </c>
      <c r="C2" s="5"/>
      <c r="D2" s="5"/>
      <c r="E2" s="5"/>
      <c r="F2" s="5"/>
      <c r="G2" s="5"/>
      <c r="H2" s="5"/>
      <c r="I2" s="5"/>
      <c r="J2" s="5"/>
      <c r="K2" s="5"/>
      <c r="L2" s="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7" t="s">
        <v>9</v>
      </c>
      <c r="C4" s="5"/>
      <c r="D4" s="5"/>
      <c r="E4" s="5"/>
      <c r="F4" s="6"/>
      <c r="G4" s="3"/>
      <c r="H4" s="7" t="s">
        <v>10</v>
      </c>
      <c r="I4" s="5"/>
      <c r="J4" s="5"/>
      <c r="K4" s="5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8" t="s">
        <v>11</v>
      </c>
      <c r="C5" s="3"/>
      <c r="D5" s="3"/>
      <c r="E5" s="3"/>
      <c r="F5" s="3"/>
      <c r="G5" s="3"/>
      <c r="H5" s="8" t="s">
        <v>11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9" t="s">
        <v>12</v>
      </c>
      <c r="C6" s="9" t="s">
        <v>47</v>
      </c>
      <c r="D6" s="34" t="s">
        <v>48</v>
      </c>
      <c r="E6" s="34" t="s">
        <v>49</v>
      </c>
      <c r="F6" s="34" t="s">
        <v>50</v>
      </c>
      <c r="G6" s="3"/>
      <c r="H6" s="9" t="s">
        <v>12</v>
      </c>
      <c r="I6" s="9" t="s">
        <v>47</v>
      </c>
      <c r="J6" s="34" t="s">
        <v>48</v>
      </c>
      <c r="K6" s="34" t="s">
        <v>49</v>
      </c>
      <c r="L6" s="34" t="s">
        <v>50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/>
      <c r="B7" s="3" t="s">
        <v>17</v>
      </c>
      <c r="C7" s="35">
        <v>2.19</v>
      </c>
      <c r="D7" s="35">
        <v>37.0</v>
      </c>
      <c r="E7" s="35">
        <v>37.0</v>
      </c>
      <c r="F7" s="13">
        <f t="shared" ref="F7:F17" si="1">D7-E7</f>
        <v>0</v>
      </c>
      <c r="G7" s="3"/>
      <c r="H7" s="3" t="s">
        <v>17</v>
      </c>
      <c r="I7" s="35">
        <v>-201.65</v>
      </c>
      <c r="J7" s="35">
        <v>29.0</v>
      </c>
      <c r="K7" s="35">
        <v>13.0</v>
      </c>
      <c r="L7" s="13">
        <f t="shared" ref="L7:L8" si="2">J7-K7</f>
        <v>16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4"/>
      <c r="B8" s="3" t="s">
        <v>18</v>
      </c>
      <c r="C8" s="35">
        <v>3.63</v>
      </c>
      <c r="D8" s="35">
        <v>54.0</v>
      </c>
      <c r="E8" s="35">
        <v>54.0</v>
      </c>
      <c r="F8" s="13">
        <f t="shared" si="1"/>
        <v>0</v>
      </c>
      <c r="G8" s="3"/>
      <c r="H8" s="3" t="s">
        <v>18</v>
      </c>
      <c r="I8" s="35">
        <v>509.24</v>
      </c>
      <c r="J8" s="35">
        <v>34.0</v>
      </c>
      <c r="K8" s="35">
        <v>18.0</v>
      </c>
      <c r="L8" s="13">
        <f t="shared" si="2"/>
        <v>16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/>
      <c r="B9" s="3" t="s">
        <v>19</v>
      </c>
      <c r="C9" s="35">
        <v>6.91</v>
      </c>
      <c r="D9" s="35">
        <v>42.0</v>
      </c>
      <c r="E9" s="35">
        <v>42.0</v>
      </c>
      <c r="F9" s="13">
        <f t="shared" si="1"/>
        <v>0</v>
      </c>
      <c r="G9" s="3"/>
      <c r="H9" s="3" t="s">
        <v>19</v>
      </c>
      <c r="I9" s="35">
        <v>581.94</v>
      </c>
      <c r="J9" s="35">
        <v>30.0</v>
      </c>
      <c r="K9" s="35">
        <v>17.0</v>
      </c>
      <c r="L9" s="35">
        <v>13.0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3" t="s">
        <v>20</v>
      </c>
      <c r="C10" s="35">
        <v>91.4</v>
      </c>
      <c r="D10" s="35">
        <v>38.0</v>
      </c>
      <c r="E10" s="35">
        <v>24.0</v>
      </c>
      <c r="F10" s="13">
        <f t="shared" si="1"/>
        <v>14</v>
      </c>
      <c r="G10" s="3"/>
      <c r="H10" s="3" t="s">
        <v>20</v>
      </c>
      <c r="I10" s="35">
        <v>-401.11</v>
      </c>
      <c r="J10" s="35">
        <v>28.0</v>
      </c>
      <c r="K10" s="35">
        <v>13.0</v>
      </c>
      <c r="L10" s="13">
        <f t="shared" ref="L10:L14" si="3">J10-K10</f>
        <v>15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/>
      <c r="B11" s="3" t="s">
        <v>21</v>
      </c>
      <c r="C11" s="35">
        <v>6.18</v>
      </c>
      <c r="D11" s="35">
        <v>55.0</v>
      </c>
      <c r="E11" s="35">
        <v>55.0</v>
      </c>
      <c r="F11" s="13">
        <f t="shared" si="1"/>
        <v>0</v>
      </c>
      <c r="G11" s="3"/>
      <c r="H11" s="3" t="s">
        <v>21</v>
      </c>
      <c r="I11" s="35">
        <v>-2912.2</v>
      </c>
      <c r="J11" s="35">
        <v>39.0</v>
      </c>
      <c r="K11" s="35">
        <v>10.0</v>
      </c>
      <c r="L11" s="13">
        <f t="shared" si="3"/>
        <v>29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/>
      <c r="B12" s="3" t="s">
        <v>22</v>
      </c>
      <c r="C12" s="35">
        <v>5.45</v>
      </c>
      <c r="D12" s="35">
        <v>46.0</v>
      </c>
      <c r="E12" s="35">
        <v>46.0</v>
      </c>
      <c r="F12" s="13">
        <f t="shared" si="1"/>
        <v>0</v>
      </c>
      <c r="G12" s="3"/>
      <c r="H12" s="3" t="s">
        <v>22</v>
      </c>
      <c r="I12" s="35">
        <v>-1234.9</v>
      </c>
      <c r="J12" s="35">
        <v>38.0</v>
      </c>
      <c r="K12" s="35">
        <v>16.0</v>
      </c>
      <c r="L12" s="13">
        <f t="shared" si="3"/>
        <v>22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4"/>
      <c r="B13" s="3" t="s">
        <v>23</v>
      </c>
      <c r="C13" s="35">
        <v>7.27</v>
      </c>
      <c r="D13" s="35">
        <v>54.0</v>
      </c>
      <c r="E13" s="35">
        <v>54.0</v>
      </c>
      <c r="F13" s="13">
        <f t="shared" si="1"/>
        <v>0</v>
      </c>
      <c r="G13" s="3"/>
      <c r="H13" s="3" t="s">
        <v>23</v>
      </c>
      <c r="I13" s="35">
        <v>-323.95</v>
      </c>
      <c r="J13" s="35">
        <v>34.0</v>
      </c>
      <c r="K13" s="35">
        <v>13.0</v>
      </c>
      <c r="L13" s="13">
        <f t="shared" si="3"/>
        <v>21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3" t="s">
        <v>24</v>
      </c>
      <c r="C14" s="35">
        <v>5.7</v>
      </c>
      <c r="D14" s="35">
        <v>41.0</v>
      </c>
      <c r="E14" s="35">
        <v>28.0</v>
      </c>
      <c r="F14" s="13">
        <f t="shared" si="1"/>
        <v>13</v>
      </c>
      <c r="G14" s="3"/>
      <c r="H14" s="3" t="s">
        <v>24</v>
      </c>
      <c r="I14" s="35">
        <v>-623.48</v>
      </c>
      <c r="J14" s="35">
        <v>32.0</v>
      </c>
      <c r="K14" s="35">
        <v>13.0</v>
      </c>
      <c r="L14" s="13">
        <f t="shared" si="3"/>
        <v>19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4"/>
      <c r="B15" s="3" t="s">
        <v>25</v>
      </c>
      <c r="C15" s="35">
        <v>-6.92</v>
      </c>
      <c r="D15" s="35">
        <v>46.0</v>
      </c>
      <c r="E15" s="35">
        <v>26.0</v>
      </c>
      <c r="F15" s="13">
        <f t="shared" si="1"/>
        <v>20</v>
      </c>
      <c r="G15" s="3"/>
      <c r="H15" s="3" t="s">
        <v>25</v>
      </c>
      <c r="I15" s="35">
        <v>-683.54</v>
      </c>
      <c r="J15" s="35">
        <v>37.0</v>
      </c>
      <c r="K15" s="35">
        <v>14.0</v>
      </c>
      <c r="L15" s="35">
        <v>23.0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"/>
      <c r="B16" s="3" t="s">
        <v>26</v>
      </c>
      <c r="C16" s="35">
        <v>6.11</v>
      </c>
      <c r="D16" s="35">
        <v>52.0</v>
      </c>
      <c r="E16" s="35">
        <v>31.0</v>
      </c>
      <c r="F16" s="13">
        <f t="shared" si="1"/>
        <v>21</v>
      </c>
      <c r="G16" s="3"/>
      <c r="H16" s="3" t="s">
        <v>26</v>
      </c>
      <c r="I16" s="35">
        <v>150.87</v>
      </c>
      <c r="J16" s="35">
        <v>36.0</v>
      </c>
      <c r="K16" s="35">
        <v>14.0</v>
      </c>
      <c r="L16" s="13">
        <f t="shared" ref="L16:L17" si="4">J16-K16</f>
        <v>22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 t="s">
        <v>27</v>
      </c>
      <c r="C17" s="35">
        <v>-16.26</v>
      </c>
      <c r="D17" s="35">
        <v>47.0</v>
      </c>
      <c r="E17" s="35">
        <v>27.0</v>
      </c>
      <c r="F17" s="13">
        <f t="shared" si="1"/>
        <v>20</v>
      </c>
      <c r="G17" s="3"/>
      <c r="H17" s="3" t="s">
        <v>27</v>
      </c>
      <c r="I17" s="35">
        <v>-997.82</v>
      </c>
      <c r="J17" s="35">
        <v>39.0</v>
      </c>
      <c r="K17" s="35">
        <v>15.0</v>
      </c>
      <c r="L17" s="13">
        <f t="shared" si="4"/>
        <v>24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>
        <f t="shared" ref="D18:F18" si="5">SUM(D7:D17)</f>
        <v>512</v>
      </c>
      <c r="E18" s="3">
        <f t="shared" si="5"/>
        <v>424</v>
      </c>
      <c r="F18" s="3">
        <f t="shared" si="5"/>
        <v>88</v>
      </c>
      <c r="G18" s="3"/>
      <c r="H18" s="3"/>
      <c r="I18" s="3"/>
      <c r="J18" s="3">
        <f t="shared" ref="J18:L18" si="6">SUM(J7:J17)</f>
        <v>376</v>
      </c>
      <c r="K18" s="3">
        <f t="shared" si="6"/>
        <v>156</v>
      </c>
      <c r="L18" s="3">
        <f t="shared" si="6"/>
        <v>220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8" t="s">
        <v>28</v>
      </c>
      <c r="C19" s="3"/>
      <c r="D19" s="3"/>
      <c r="E19" s="3"/>
      <c r="F19" s="3"/>
      <c r="G19" s="3"/>
      <c r="H19" s="8" t="s">
        <v>28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9" t="s">
        <v>12</v>
      </c>
      <c r="C20" s="9" t="s">
        <v>47</v>
      </c>
      <c r="D20" s="34" t="s">
        <v>48</v>
      </c>
      <c r="E20" s="34" t="s">
        <v>49</v>
      </c>
      <c r="F20" s="34" t="s">
        <v>50</v>
      </c>
      <c r="G20" s="3"/>
      <c r="H20" s="9" t="s">
        <v>12</v>
      </c>
      <c r="I20" s="9" t="s">
        <v>47</v>
      </c>
      <c r="J20" s="34" t="s">
        <v>48</v>
      </c>
      <c r="K20" s="34" t="s">
        <v>49</v>
      </c>
      <c r="L20" s="34" t="s">
        <v>50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 t="s">
        <v>17</v>
      </c>
      <c r="C21" s="35">
        <v>-53.64</v>
      </c>
      <c r="D21" s="35">
        <v>32.0</v>
      </c>
      <c r="E21" s="35">
        <v>14.0</v>
      </c>
      <c r="F21" s="13">
        <f t="shared" ref="F21:F31" si="7">D21-E21</f>
        <v>18</v>
      </c>
      <c r="G21" s="3"/>
      <c r="H21" s="3" t="s">
        <v>17</v>
      </c>
      <c r="I21" s="35">
        <v>548.09</v>
      </c>
      <c r="J21" s="35">
        <v>29.0</v>
      </c>
      <c r="K21" s="35">
        <v>19.0</v>
      </c>
      <c r="L21" s="35">
        <v>9.0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 t="s">
        <v>18</v>
      </c>
      <c r="C22" s="35">
        <v>-1033.95</v>
      </c>
      <c r="D22" s="13">
        <v>38.0</v>
      </c>
      <c r="E22" s="35">
        <v>16.0</v>
      </c>
      <c r="F22" s="13">
        <f t="shared" si="7"/>
        <v>22</v>
      </c>
      <c r="G22" s="3"/>
      <c r="H22" s="3" t="s">
        <v>18</v>
      </c>
      <c r="I22" s="35">
        <v>62.7</v>
      </c>
      <c r="J22" s="35">
        <v>37.0</v>
      </c>
      <c r="K22" s="35">
        <v>21.0</v>
      </c>
      <c r="L22" s="13">
        <f t="shared" ref="L22:L25" si="8">J22-K22</f>
        <v>16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 t="s">
        <v>19</v>
      </c>
      <c r="C23" s="35">
        <v>-717.09</v>
      </c>
      <c r="D23" s="35">
        <v>38.0</v>
      </c>
      <c r="E23" s="35">
        <v>14.0</v>
      </c>
      <c r="F23" s="13">
        <f t="shared" si="7"/>
        <v>24</v>
      </c>
      <c r="G23" s="3"/>
      <c r="H23" s="3" t="s">
        <v>19</v>
      </c>
      <c r="I23" s="35">
        <v>956.04</v>
      </c>
      <c r="J23" s="35">
        <v>32.0</v>
      </c>
      <c r="K23" s="35">
        <v>17.0</v>
      </c>
      <c r="L23" s="13">
        <f t="shared" si="8"/>
        <v>15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 t="s">
        <v>20</v>
      </c>
      <c r="C24" s="35">
        <v>-1691.91</v>
      </c>
      <c r="D24" s="35">
        <v>32.0</v>
      </c>
      <c r="E24" s="35">
        <v>11.0</v>
      </c>
      <c r="F24" s="13">
        <f t="shared" si="7"/>
        <v>21</v>
      </c>
      <c r="G24" s="3"/>
      <c r="H24" s="3" t="s">
        <v>20</v>
      </c>
      <c r="I24" s="35">
        <v>2010.34</v>
      </c>
      <c r="J24" s="35">
        <v>30.0</v>
      </c>
      <c r="K24" s="35">
        <v>19.0</v>
      </c>
      <c r="L24" s="13">
        <f t="shared" si="8"/>
        <v>11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 t="s">
        <v>21</v>
      </c>
      <c r="C25" s="35">
        <v>17.5</v>
      </c>
      <c r="D25" s="35">
        <v>38.0</v>
      </c>
      <c r="E25" s="35">
        <v>18.0</v>
      </c>
      <c r="F25" s="13">
        <f t="shared" si="7"/>
        <v>20</v>
      </c>
      <c r="G25" s="3"/>
      <c r="H25" s="3" t="s">
        <v>21</v>
      </c>
      <c r="I25" s="35">
        <v>1105.94</v>
      </c>
      <c r="J25" s="35">
        <v>34.0</v>
      </c>
      <c r="K25" s="35">
        <v>17.0</v>
      </c>
      <c r="L25" s="13">
        <f t="shared" si="8"/>
        <v>17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 t="s">
        <v>22</v>
      </c>
      <c r="C26" s="35">
        <v>-1752.39</v>
      </c>
      <c r="D26" s="35">
        <v>38.0</v>
      </c>
      <c r="E26" s="35">
        <v>11.0</v>
      </c>
      <c r="F26" s="13">
        <f t="shared" si="7"/>
        <v>27</v>
      </c>
      <c r="G26" s="3"/>
      <c r="H26" s="3" t="s">
        <v>22</v>
      </c>
      <c r="I26" s="35">
        <v>2299.19</v>
      </c>
      <c r="J26" s="35">
        <v>41.0</v>
      </c>
      <c r="K26" s="35">
        <v>24.0</v>
      </c>
      <c r="L26" s="35">
        <v>17.0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 t="s">
        <v>23</v>
      </c>
      <c r="C27" s="35">
        <v>-984.84</v>
      </c>
      <c r="D27" s="35">
        <v>34.0</v>
      </c>
      <c r="E27" s="35">
        <v>23.0</v>
      </c>
      <c r="F27" s="13">
        <f t="shared" si="7"/>
        <v>11</v>
      </c>
      <c r="G27" s="3"/>
      <c r="H27" s="3" t="s">
        <v>23</v>
      </c>
      <c r="I27" s="35">
        <v>713.14</v>
      </c>
      <c r="J27" s="35">
        <v>35.0</v>
      </c>
      <c r="K27" s="35">
        <v>22.0</v>
      </c>
      <c r="L27" s="13">
        <f t="shared" ref="L27:L31" si="9">J27-K27</f>
        <v>13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 t="s">
        <v>24</v>
      </c>
      <c r="C28" s="35">
        <v>-1249.8</v>
      </c>
      <c r="D28" s="35">
        <v>37.0</v>
      </c>
      <c r="E28" s="35">
        <v>14.0</v>
      </c>
      <c r="F28" s="13">
        <f t="shared" si="7"/>
        <v>23</v>
      </c>
      <c r="G28" s="3"/>
      <c r="H28" s="3" t="s">
        <v>24</v>
      </c>
      <c r="I28" s="35">
        <v>2792.28</v>
      </c>
      <c r="J28" s="35">
        <v>33.0</v>
      </c>
      <c r="K28" s="35">
        <v>23.0</v>
      </c>
      <c r="L28" s="13">
        <f t="shared" si="9"/>
        <v>10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 t="s">
        <v>25</v>
      </c>
      <c r="C29" s="35">
        <v>155.54</v>
      </c>
      <c r="D29" s="35">
        <v>33.0</v>
      </c>
      <c r="E29" s="35">
        <v>15.0</v>
      </c>
      <c r="F29" s="13">
        <f t="shared" si="7"/>
        <v>18</v>
      </c>
      <c r="G29" s="3"/>
      <c r="H29" s="3" t="s">
        <v>25</v>
      </c>
      <c r="I29" s="35">
        <v>276.54</v>
      </c>
      <c r="J29" s="35">
        <v>33.0</v>
      </c>
      <c r="K29" s="35">
        <v>17.0</v>
      </c>
      <c r="L29" s="13">
        <f t="shared" si="9"/>
        <v>16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 t="s">
        <v>26</v>
      </c>
      <c r="C30" s="35">
        <v>-1119.64</v>
      </c>
      <c r="D30" s="35">
        <v>42.0</v>
      </c>
      <c r="E30" s="35">
        <v>16.0</v>
      </c>
      <c r="F30" s="13">
        <f t="shared" si="7"/>
        <v>26</v>
      </c>
      <c r="G30" s="3"/>
      <c r="H30" s="3" t="s">
        <v>26</v>
      </c>
      <c r="I30" s="35">
        <v>-372.12</v>
      </c>
      <c r="J30" s="35">
        <v>42.0</v>
      </c>
      <c r="K30" s="13">
        <v>19.0</v>
      </c>
      <c r="L30" s="13">
        <f t="shared" si="9"/>
        <v>23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 t="s">
        <v>27</v>
      </c>
      <c r="C31" s="35">
        <v>-1856.52</v>
      </c>
      <c r="D31" s="35">
        <v>37.0</v>
      </c>
      <c r="E31" s="35">
        <v>10.0</v>
      </c>
      <c r="F31" s="13">
        <f t="shared" si="7"/>
        <v>27</v>
      </c>
      <c r="G31" s="3"/>
      <c r="H31" s="3" t="s">
        <v>27</v>
      </c>
      <c r="I31" s="35">
        <v>1252.45</v>
      </c>
      <c r="J31" s="35">
        <v>36.0</v>
      </c>
      <c r="K31" s="35">
        <v>21.0</v>
      </c>
      <c r="L31" s="13">
        <f t="shared" si="9"/>
        <v>15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>
        <f t="shared" ref="D32:F32" si="10">SUM(D21:D31)</f>
        <v>399</v>
      </c>
      <c r="E32" s="3">
        <f t="shared" si="10"/>
        <v>162</v>
      </c>
      <c r="F32" s="3">
        <f t="shared" si="10"/>
        <v>237</v>
      </c>
      <c r="G32" s="3"/>
      <c r="H32" s="3"/>
      <c r="I32" s="3"/>
      <c r="J32" s="3">
        <f t="shared" ref="J32:L32" si="11">SUM(J21:J31)</f>
        <v>382</v>
      </c>
      <c r="K32" s="3">
        <f t="shared" si="11"/>
        <v>219</v>
      </c>
      <c r="L32" s="3">
        <f t="shared" si="11"/>
        <v>162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8" t="s">
        <v>29</v>
      </c>
      <c r="C33" s="3"/>
      <c r="D33" s="3"/>
      <c r="E33" s="3"/>
      <c r="F33" s="3"/>
      <c r="G33" s="3"/>
      <c r="H33" s="8" t="s">
        <v>29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9" t="s">
        <v>12</v>
      </c>
      <c r="C34" s="9" t="s">
        <v>47</v>
      </c>
      <c r="D34" s="34" t="s">
        <v>48</v>
      </c>
      <c r="E34" s="34" t="s">
        <v>49</v>
      </c>
      <c r="F34" s="34" t="s">
        <v>50</v>
      </c>
      <c r="G34" s="3"/>
      <c r="H34" s="9" t="s">
        <v>12</v>
      </c>
      <c r="I34" s="9" t="s">
        <v>47</v>
      </c>
      <c r="J34" s="34" t="s">
        <v>48</v>
      </c>
      <c r="K34" s="34" t="s">
        <v>49</v>
      </c>
      <c r="L34" s="34" t="s">
        <v>50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 t="s">
        <v>17</v>
      </c>
      <c r="C35" s="35">
        <v>-1029.54</v>
      </c>
      <c r="D35" s="35">
        <v>34.0</v>
      </c>
      <c r="E35" s="35">
        <v>18.0</v>
      </c>
      <c r="F35" s="13">
        <f t="shared" ref="F35:F38" si="12">D35-E35</f>
        <v>16</v>
      </c>
      <c r="G35" s="3"/>
      <c r="H35" s="3" t="s">
        <v>17</v>
      </c>
      <c r="I35" s="35">
        <v>-947.3</v>
      </c>
      <c r="J35" s="35">
        <v>35.0</v>
      </c>
      <c r="K35" s="35">
        <v>15.0</v>
      </c>
      <c r="L35" s="13">
        <f t="shared" ref="L35:L40" si="13">J35-K35</f>
        <v>20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 t="s">
        <v>18</v>
      </c>
      <c r="C36" s="35">
        <v>-843.84</v>
      </c>
      <c r="D36" s="35">
        <v>30.0</v>
      </c>
      <c r="E36" s="13">
        <v>15.0</v>
      </c>
      <c r="F36" s="13">
        <f t="shared" si="12"/>
        <v>15</v>
      </c>
      <c r="G36" s="3"/>
      <c r="H36" s="3" t="s">
        <v>18</v>
      </c>
      <c r="I36" s="35">
        <v>633.95</v>
      </c>
      <c r="J36" s="35">
        <v>30.0</v>
      </c>
      <c r="K36" s="35">
        <v>18.0</v>
      </c>
      <c r="L36" s="13">
        <f t="shared" si="13"/>
        <v>12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 t="s">
        <v>19</v>
      </c>
      <c r="C37" s="35">
        <v>246.5</v>
      </c>
      <c r="D37" s="13">
        <v>31.0</v>
      </c>
      <c r="E37" s="13">
        <v>13.0</v>
      </c>
      <c r="F37" s="13">
        <f t="shared" si="12"/>
        <v>18</v>
      </c>
      <c r="G37" s="3"/>
      <c r="H37" s="3" t="s">
        <v>19</v>
      </c>
      <c r="I37" s="35">
        <v>-597.64</v>
      </c>
      <c r="J37" s="35">
        <v>30.0</v>
      </c>
      <c r="K37" s="35">
        <v>18.0</v>
      </c>
      <c r="L37" s="13">
        <f t="shared" si="13"/>
        <v>12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 t="s">
        <v>20</v>
      </c>
      <c r="C38" s="35">
        <v>-731.87</v>
      </c>
      <c r="D38" s="35">
        <v>29.0</v>
      </c>
      <c r="E38" s="35">
        <v>12.0</v>
      </c>
      <c r="F38" s="13">
        <f t="shared" si="12"/>
        <v>17</v>
      </c>
      <c r="G38" s="3"/>
      <c r="H38" s="3" t="s">
        <v>20</v>
      </c>
      <c r="I38" s="35">
        <v>1295.94</v>
      </c>
      <c r="J38" s="35">
        <v>29.0</v>
      </c>
      <c r="K38" s="35">
        <v>18.0</v>
      </c>
      <c r="L38" s="13">
        <f t="shared" si="13"/>
        <v>11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 t="s">
        <v>21</v>
      </c>
      <c r="C39" s="35">
        <v>-799.54</v>
      </c>
      <c r="D39" s="35">
        <v>40.0</v>
      </c>
      <c r="E39" s="35">
        <v>15.0</v>
      </c>
      <c r="F39" s="35">
        <v>24.0</v>
      </c>
      <c r="G39" s="3"/>
      <c r="H39" s="3" t="s">
        <v>21</v>
      </c>
      <c r="I39" s="35">
        <v>-901.5</v>
      </c>
      <c r="J39" s="35">
        <v>33.0</v>
      </c>
      <c r="K39" s="35">
        <v>13.0</v>
      </c>
      <c r="L39" s="13">
        <f t="shared" si="13"/>
        <v>20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 t="s">
        <v>22</v>
      </c>
      <c r="C40" s="35">
        <v>-380.04</v>
      </c>
      <c r="D40" s="35">
        <v>40.0</v>
      </c>
      <c r="E40" s="35">
        <v>18.0</v>
      </c>
      <c r="F40" s="35">
        <v>22.0</v>
      </c>
      <c r="G40" s="3"/>
      <c r="H40" s="3" t="s">
        <v>22</v>
      </c>
      <c r="I40" s="35">
        <v>97.84</v>
      </c>
      <c r="J40" s="35">
        <v>37.0</v>
      </c>
      <c r="K40" s="13">
        <v>19.0</v>
      </c>
      <c r="L40" s="13">
        <f t="shared" si="13"/>
        <v>18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 t="s">
        <v>23</v>
      </c>
      <c r="C41" s="35">
        <v>183.1</v>
      </c>
      <c r="D41" s="35">
        <v>31.0</v>
      </c>
      <c r="E41" s="35">
        <v>14.0</v>
      </c>
      <c r="F41" s="35">
        <v>16.0</v>
      </c>
      <c r="G41" s="3"/>
      <c r="H41" s="3" t="s">
        <v>23</v>
      </c>
      <c r="I41" s="35">
        <v>112.69</v>
      </c>
      <c r="J41" s="35">
        <v>30.0</v>
      </c>
      <c r="K41" s="35">
        <v>13.0</v>
      </c>
      <c r="L41" s="35">
        <v>16.0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 t="s">
        <v>24</v>
      </c>
      <c r="C42" s="35">
        <v>1400.18</v>
      </c>
      <c r="D42" s="35">
        <v>35.0</v>
      </c>
      <c r="E42" s="35">
        <v>21.0</v>
      </c>
      <c r="F42" s="35">
        <v>14.0</v>
      </c>
      <c r="G42" s="3"/>
      <c r="H42" s="3" t="s">
        <v>24</v>
      </c>
      <c r="I42" s="35">
        <v>40.26</v>
      </c>
      <c r="J42" s="35">
        <v>33.0</v>
      </c>
      <c r="K42" s="35">
        <v>16.0</v>
      </c>
      <c r="L42" s="35">
        <v>17.0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 t="s">
        <v>25</v>
      </c>
      <c r="C43" s="35">
        <v>1059.9</v>
      </c>
      <c r="D43" s="35">
        <v>40.0</v>
      </c>
      <c r="E43" s="35">
        <v>19.0</v>
      </c>
      <c r="F43" s="13">
        <f>D43-E43</f>
        <v>21</v>
      </c>
      <c r="G43" s="3"/>
      <c r="H43" s="3" t="s">
        <v>25</v>
      </c>
      <c r="I43" s="35">
        <v>1711.29</v>
      </c>
      <c r="J43" s="35">
        <v>36.0</v>
      </c>
      <c r="K43" s="35">
        <v>22.0</v>
      </c>
      <c r="L43" s="13">
        <f>J43-K43</f>
        <v>14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 t="s">
        <v>26</v>
      </c>
      <c r="C44" s="35">
        <v>1190.82</v>
      </c>
      <c r="D44" s="35">
        <v>36.0</v>
      </c>
      <c r="E44" s="35">
        <v>18.0</v>
      </c>
      <c r="F44" s="35">
        <v>18.0</v>
      </c>
      <c r="G44" s="3"/>
      <c r="H44" s="3" t="s">
        <v>26</v>
      </c>
      <c r="I44" s="35">
        <v>-1371.44</v>
      </c>
      <c r="J44" s="35">
        <v>31.0</v>
      </c>
      <c r="K44" s="35">
        <v>18.0</v>
      </c>
      <c r="L44" s="35">
        <v>13.0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 t="s">
        <v>27</v>
      </c>
      <c r="C45" s="35">
        <v>1872.99</v>
      </c>
      <c r="D45" s="35">
        <v>32.0</v>
      </c>
      <c r="E45" s="35">
        <v>19.0</v>
      </c>
      <c r="F45" s="35">
        <v>12.0</v>
      </c>
      <c r="G45" s="3"/>
      <c r="H45" s="3" t="s">
        <v>27</v>
      </c>
      <c r="I45" s="35">
        <v>-755.76</v>
      </c>
      <c r="J45" s="35">
        <v>32.0</v>
      </c>
      <c r="K45" s="35">
        <v>13.0</v>
      </c>
      <c r="L45" s="35">
        <v>19.0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>
        <f t="shared" ref="D46:F46" si="14">SUM(D35:D45)</f>
        <v>378</v>
      </c>
      <c r="E46" s="3">
        <f t="shared" si="14"/>
        <v>182</v>
      </c>
      <c r="F46" s="3">
        <f t="shared" si="14"/>
        <v>193</v>
      </c>
      <c r="G46" s="3"/>
      <c r="H46" s="3"/>
      <c r="I46" s="3"/>
      <c r="J46" s="3">
        <f t="shared" ref="J46:L46" si="15">SUM(J35:J45)</f>
        <v>356</v>
      </c>
      <c r="K46" s="3">
        <f t="shared" si="15"/>
        <v>183</v>
      </c>
      <c r="L46" s="3">
        <f t="shared" si="15"/>
        <v>172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8" t="s">
        <v>30</v>
      </c>
      <c r="C47" s="3"/>
      <c r="D47" s="3"/>
      <c r="E47" s="3"/>
      <c r="F47" s="3"/>
      <c r="G47" s="3"/>
      <c r="H47" s="8" t="s">
        <v>30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9" t="s">
        <v>12</v>
      </c>
      <c r="C48" s="9" t="s">
        <v>47</v>
      </c>
      <c r="D48" s="34" t="s">
        <v>48</v>
      </c>
      <c r="E48" s="34" t="s">
        <v>49</v>
      </c>
      <c r="F48" s="34" t="s">
        <v>50</v>
      </c>
      <c r="G48" s="3"/>
      <c r="H48" s="9" t="s">
        <v>12</v>
      </c>
      <c r="I48" s="9" t="s">
        <v>47</v>
      </c>
      <c r="J48" s="34" t="s">
        <v>48</v>
      </c>
      <c r="K48" s="34" t="s">
        <v>49</v>
      </c>
      <c r="L48" s="34" t="s">
        <v>50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 t="s">
        <v>17</v>
      </c>
      <c r="C49" s="35">
        <v>-1144.39</v>
      </c>
      <c r="D49" s="35">
        <v>29.0</v>
      </c>
      <c r="E49" s="35">
        <v>12.0</v>
      </c>
      <c r="F49" s="35">
        <v>17.0</v>
      </c>
      <c r="G49" s="3"/>
      <c r="H49" s="3" t="s">
        <v>17</v>
      </c>
      <c r="I49" s="35">
        <v>2035.69</v>
      </c>
      <c r="J49" s="35">
        <v>27.0</v>
      </c>
      <c r="K49" s="35">
        <v>17.0</v>
      </c>
      <c r="L49" s="13">
        <f>J49-K49</f>
        <v>10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 t="s">
        <v>18</v>
      </c>
      <c r="C50" s="35">
        <v>1257.9</v>
      </c>
      <c r="D50" s="35">
        <v>27.0</v>
      </c>
      <c r="E50" s="13">
        <v>15.0</v>
      </c>
      <c r="F50" s="35">
        <v>12.0</v>
      </c>
      <c r="G50" s="3"/>
      <c r="H50" s="3" t="s">
        <v>18</v>
      </c>
      <c r="I50" s="35">
        <v>2011.09</v>
      </c>
      <c r="J50" s="35">
        <v>26.0</v>
      </c>
      <c r="K50" s="35">
        <v>18.0</v>
      </c>
      <c r="L50" s="35">
        <v>8.0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 t="s">
        <v>19</v>
      </c>
      <c r="C51" s="35">
        <v>590.6</v>
      </c>
      <c r="D51" s="35">
        <v>30.0</v>
      </c>
      <c r="E51" s="13">
        <v>16.0</v>
      </c>
      <c r="F51" s="35">
        <v>14.0</v>
      </c>
      <c r="G51" s="3"/>
      <c r="H51" s="3" t="s">
        <v>19</v>
      </c>
      <c r="I51" s="35">
        <v>1086.14</v>
      </c>
      <c r="J51" s="35">
        <v>28.0</v>
      </c>
      <c r="K51" s="35">
        <v>17.0</v>
      </c>
      <c r="L51" s="35">
        <v>11.0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 t="s">
        <v>20</v>
      </c>
      <c r="C52" s="35">
        <v>-1790.69</v>
      </c>
      <c r="D52" s="35">
        <v>25.0</v>
      </c>
      <c r="E52" s="35">
        <v>10.0</v>
      </c>
      <c r="F52" s="13">
        <f>D52-E52</f>
        <v>15</v>
      </c>
      <c r="G52" s="3"/>
      <c r="H52" s="3" t="s">
        <v>20</v>
      </c>
      <c r="I52" s="35">
        <v>1913.06</v>
      </c>
      <c r="J52" s="35">
        <v>30.0</v>
      </c>
      <c r="K52" s="35">
        <v>18.0</v>
      </c>
      <c r="L52" s="13">
        <f t="shared" ref="L52:L53" si="16">J52-K52</f>
        <v>12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 t="s">
        <v>21</v>
      </c>
      <c r="C53" s="35">
        <v>1231.94</v>
      </c>
      <c r="D53" s="35">
        <v>41.0</v>
      </c>
      <c r="E53" s="35">
        <v>14.0</v>
      </c>
      <c r="F53" s="35">
        <v>27.0</v>
      </c>
      <c r="G53" s="3"/>
      <c r="H53" s="3" t="s">
        <v>21</v>
      </c>
      <c r="I53" s="35">
        <v>1817.39</v>
      </c>
      <c r="J53" s="35">
        <v>42.0</v>
      </c>
      <c r="K53" s="35">
        <v>20.0</v>
      </c>
      <c r="L53" s="13">
        <f t="shared" si="16"/>
        <v>22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 t="s">
        <v>22</v>
      </c>
      <c r="C54" s="35">
        <v>-450.84</v>
      </c>
      <c r="D54" s="35">
        <v>36.0</v>
      </c>
      <c r="E54" s="35">
        <v>13.0</v>
      </c>
      <c r="F54" s="35">
        <v>23.0</v>
      </c>
      <c r="G54" s="3"/>
      <c r="H54" s="3" t="s">
        <v>22</v>
      </c>
      <c r="I54" s="35">
        <v>-830.7</v>
      </c>
      <c r="J54" s="35">
        <v>36.0</v>
      </c>
      <c r="K54" s="35">
        <v>13.0</v>
      </c>
      <c r="L54" s="35">
        <v>23.0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 t="s">
        <v>23</v>
      </c>
      <c r="C55" s="35">
        <v>10.8</v>
      </c>
      <c r="D55" s="35">
        <v>29.0</v>
      </c>
      <c r="E55" s="35">
        <v>14.0</v>
      </c>
      <c r="F55" s="35">
        <v>15.0</v>
      </c>
      <c r="G55" s="3"/>
      <c r="H55" s="3" t="s">
        <v>23</v>
      </c>
      <c r="I55" s="35">
        <v>1912.89</v>
      </c>
      <c r="J55" s="35">
        <v>30.0</v>
      </c>
      <c r="K55" s="35">
        <v>21.0</v>
      </c>
      <c r="L55" s="13">
        <f>J55-K55</f>
        <v>9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 t="s">
        <v>24</v>
      </c>
      <c r="C56" s="35">
        <v>-1292.15</v>
      </c>
      <c r="D56" s="35">
        <v>35.0</v>
      </c>
      <c r="E56" s="35">
        <v>14.0</v>
      </c>
      <c r="F56" s="35">
        <v>21.0</v>
      </c>
      <c r="G56" s="3"/>
      <c r="H56" s="3" t="s">
        <v>24</v>
      </c>
      <c r="I56" s="35">
        <v>260.99</v>
      </c>
      <c r="J56" s="35">
        <v>33.0</v>
      </c>
      <c r="K56" s="35">
        <v>15.0</v>
      </c>
      <c r="L56" s="35">
        <v>18.0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 t="s">
        <v>25</v>
      </c>
      <c r="C57" s="35">
        <v>-766.34</v>
      </c>
      <c r="D57" s="35">
        <v>33.0</v>
      </c>
      <c r="E57" s="35">
        <v>14.0</v>
      </c>
      <c r="F57" s="35">
        <v>19.0</v>
      </c>
      <c r="G57" s="3"/>
      <c r="H57" s="3" t="s">
        <v>25</v>
      </c>
      <c r="I57" s="35">
        <v>1303.44</v>
      </c>
      <c r="J57" s="35">
        <v>31.0</v>
      </c>
      <c r="K57" s="35">
        <v>16.0</v>
      </c>
      <c r="L57" s="13">
        <f t="shared" ref="L57:L58" si="17">J57-K57</f>
        <v>15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 t="s">
        <v>26</v>
      </c>
      <c r="C58" s="35">
        <v>902.53</v>
      </c>
      <c r="D58" s="35">
        <v>36.0</v>
      </c>
      <c r="E58" s="35">
        <v>17.0</v>
      </c>
      <c r="F58" s="35">
        <v>19.0</v>
      </c>
      <c r="G58" s="3"/>
      <c r="H58" s="3" t="s">
        <v>26</v>
      </c>
      <c r="I58" s="35">
        <v>376.09</v>
      </c>
      <c r="J58" s="35">
        <v>43.0</v>
      </c>
      <c r="K58" s="35">
        <v>18.0</v>
      </c>
      <c r="L58" s="13">
        <f t="shared" si="17"/>
        <v>25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 t="s">
        <v>27</v>
      </c>
      <c r="C59" s="35">
        <v>-1995.04</v>
      </c>
      <c r="D59" s="35">
        <v>39.0</v>
      </c>
      <c r="E59" s="35">
        <v>13.0</v>
      </c>
      <c r="F59" s="35">
        <v>26.0</v>
      </c>
      <c r="G59" s="3"/>
      <c r="H59" s="3" t="s">
        <v>27</v>
      </c>
      <c r="I59" s="35">
        <v>-878.2</v>
      </c>
      <c r="J59" s="35">
        <v>38.0</v>
      </c>
      <c r="K59" s="13">
        <v>14.0</v>
      </c>
      <c r="L59" s="35">
        <v>24.0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>
        <f t="shared" ref="D60:F60" si="18">SUM(D49:D59)</f>
        <v>360</v>
      </c>
      <c r="E60" s="3">
        <f t="shared" si="18"/>
        <v>152</v>
      </c>
      <c r="F60" s="3">
        <f t="shared" si="18"/>
        <v>208</v>
      </c>
      <c r="G60" s="3"/>
      <c r="H60" s="3"/>
      <c r="I60" s="3"/>
      <c r="J60" s="3">
        <f t="shared" ref="J60:L60" si="19">SUM(J49:J59)</f>
        <v>364</v>
      </c>
      <c r="K60" s="3">
        <f t="shared" si="19"/>
        <v>187</v>
      </c>
      <c r="L60" s="3">
        <f t="shared" si="19"/>
        <v>177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3"/>
      <c r="B61" s="3"/>
      <c r="C61" s="15" t="s">
        <v>31</v>
      </c>
      <c r="D61" s="3">
        <f t="shared" ref="D61:F61" si="20">D60+D46+D32+D18</f>
        <v>1649</v>
      </c>
      <c r="E61" s="3">
        <f t="shared" si="20"/>
        <v>920</v>
      </c>
      <c r="F61" s="3">
        <f t="shared" si="20"/>
        <v>726</v>
      </c>
      <c r="G61" s="3"/>
      <c r="H61" s="3"/>
      <c r="I61" s="15" t="s">
        <v>32</v>
      </c>
      <c r="J61" s="3">
        <f t="shared" ref="J61:L61" si="21">J60+J46+J32+J18</f>
        <v>1478</v>
      </c>
      <c r="K61" s="3">
        <f t="shared" si="21"/>
        <v>745</v>
      </c>
      <c r="L61" s="3">
        <f t="shared" si="21"/>
        <v>731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3"/>
      <c r="B62" s="3"/>
      <c r="C62" s="15" t="s">
        <v>33</v>
      </c>
      <c r="D62" s="3">
        <f t="shared" ref="D62:F62" si="22">D61+J61</f>
        <v>3127</v>
      </c>
      <c r="E62" s="3">
        <f t="shared" si="22"/>
        <v>1665</v>
      </c>
      <c r="F62" s="3">
        <f t="shared" si="22"/>
        <v>1457</v>
      </c>
      <c r="G62" s="3"/>
      <c r="H62" s="3"/>
      <c r="I62" s="3"/>
      <c r="J62" s="3"/>
      <c r="K62" s="3"/>
      <c r="L62" s="3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3"/>
      <c r="B63" s="3"/>
      <c r="C63" s="15" t="s">
        <v>34</v>
      </c>
      <c r="D63" s="16">
        <f>E62/D62</f>
        <v>0.5324592261</v>
      </c>
      <c r="E63" s="3"/>
      <c r="F63" s="3"/>
      <c r="G63" s="3"/>
      <c r="H63" s="3"/>
      <c r="I63" s="3"/>
      <c r="J63" s="3"/>
      <c r="K63" s="3"/>
      <c r="L63" s="3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3"/>
      <c r="B64" s="3"/>
      <c r="C64" s="15" t="s">
        <v>35</v>
      </c>
      <c r="D64" s="17">
        <f>1-D63</f>
        <v>0.4675407739</v>
      </c>
      <c r="E64" s="3"/>
      <c r="F64" s="3"/>
      <c r="G64" s="3"/>
      <c r="H64" s="3"/>
      <c r="I64" s="3"/>
      <c r="J64" s="3"/>
      <c r="K64" s="3"/>
      <c r="L64" s="3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3">
    <mergeCell ref="B2:L2"/>
    <mergeCell ref="B4:F4"/>
    <mergeCell ref="H4:L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5.25"/>
    <col customWidth="1" min="3" max="3" width="15.38"/>
    <col customWidth="1" min="4" max="4" width="15.25"/>
  </cols>
  <sheetData>
    <row r="1">
      <c r="A1" s="36" t="s">
        <v>51</v>
      </c>
      <c r="B1" s="36" t="s">
        <v>52</v>
      </c>
      <c r="C1" s="36" t="s">
        <v>53</v>
      </c>
      <c r="D1" s="36" t="s">
        <v>54</v>
      </c>
      <c r="E1" s="36" t="s">
        <v>55</v>
      </c>
    </row>
    <row r="2">
      <c r="A2" s="36">
        <v>1.0</v>
      </c>
      <c r="B2" s="36" t="s">
        <v>56</v>
      </c>
      <c r="C2" s="37">
        <f>RSI!D62</f>
        <v>0.4650730412</v>
      </c>
      <c r="D2" s="37">
        <f>RSI!D63</f>
        <v>0.5349269588</v>
      </c>
    </row>
    <row r="3">
      <c r="A3" s="36">
        <v>2.0</v>
      </c>
      <c r="B3" s="36" t="s">
        <v>57</v>
      </c>
      <c r="C3" s="37">
        <f>Supertrend!D62</f>
        <v>0.4914830797</v>
      </c>
      <c r="D3" s="37">
        <f>Supertrend!D63</f>
        <v>0.5085169203</v>
      </c>
    </row>
    <row r="4">
      <c r="A4" s="36">
        <v>3.0</v>
      </c>
      <c r="B4" s="36" t="s">
        <v>58</v>
      </c>
      <c r="C4" s="37">
        <f>VWAP!D62</f>
        <v>0.4417544411</v>
      </c>
      <c r="D4" s="37">
        <f>VWAP!D63</f>
        <v>0.5582455589</v>
      </c>
    </row>
    <row r="5">
      <c r="A5" s="36">
        <v>4.0</v>
      </c>
      <c r="B5" s="36" t="s">
        <v>59</v>
      </c>
      <c r="C5" s="37">
        <f>MA!D62</f>
        <v>0.6842906048</v>
      </c>
      <c r="D5" s="37">
        <f>MA!D63</f>
        <v>0.3157093952</v>
      </c>
    </row>
    <row r="6">
      <c r="A6" s="36">
        <v>5.0</v>
      </c>
      <c r="B6" s="36" t="s">
        <v>60</v>
      </c>
      <c r="C6" s="37">
        <f>MACD!$D$62</f>
        <v>0.4776603242</v>
      </c>
      <c r="D6" s="37">
        <f>MACD!$D$63</f>
        <v>0.5223396758</v>
      </c>
    </row>
    <row r="7">
      <c r="A7" s="36">
        <v>6.0</v>
      </c>
      <c r="B7" s="36" t="s">
        <v>61</v>
      </c>
      <c r="C7" s="37">
        <f>S_RSI!D62</f>
        <v>0.4650730412</v>
      </c>
      <c r="D7" s="37">
        <f>S_RSI!D63</f>
        <v>0.5349269588</v>
      </c>
    </row>
    <row r="8">
      <c r="A8" s="36">
        <v>7.0</v>
      </c>
      <c r="B8" s="36" t="s">
        <v>62</v>
      </c>
      <c r="C8" s="37">
        <f>PP!D62</f>
        <v>0.4610073111</v>
      </c>
      <c r="D8" s="37">
        <f>PP!D63</f>
        <v>0.5389926889</v>
      </c>
    </row>
    <row r="9">
      <c r="A9" s="36">
        <v>8.0</v>
      </c>
      <c r="B9" s="36" t="s">
        <v>63</v>
      </c>
      <c r="C9" s="37">
        <f>Boillenger!D62</f>
        <v>0.4671397195</v>
      </c>
      <c r="D9" s="37">
        <f>Boillenger!D63</f>
        <v>0.5328602805</v>
      </c>
    </row>
    <row r="10">
      <c r="A10" s="36">
        <v>9.0</v>
      </c>
      <c r="B10" s="36" t="s">
        <v>64</v>
      </c>
      <c r="C10" s="37">
        <f>'AWESOME Alligator'!D62</f>
        <v>0.48288908</v>
      </c>
      <c r="D10" s="37">
        <f>'AWESOME Alligator'!D63</f>
        <v>0.51711092</v>
      </c>
    </row>
    <row r="11">
      <c r="A11" s="36">
        <v>10.0</v>
      </c>
      <c r="B11" s="36" t="s">
        <v>65</v>
      </c>
      <c r="C11" s="37">
        <f>CP!D63</f>
        <v>0.5324592261</v>
      </c>
      <c r="D11" s="37">
        <f>CP!D64</f>
        <v>0.4675407739</v>
      </c>
    </row>
  </sheetData>
  <drawing r:id="rId1"/>
</worksheet>
</file>